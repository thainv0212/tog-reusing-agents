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search\Laboratory\tog-reusing-agents\Results\"/>
    </mc:Choice>
  </mc:AlternateContent>
  <xr:revisionPtr revIDLastSave="0" documentId="13_ncr:1_{3068957F-59BA-490F-8607-7907F418E1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ndulum" sheetId="1" r:id="rId1"/>
    <sheet name="Hyperhot" sheetId="2" r:id="rId2"/>
    <sheet name="Vizdoom" sheetId="3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3" l="1"/>
  <c r="G58" i="3"/>
  <c r="E58" i="3"/>
  <c r="D58" i="3"/>
  <c r="K58" i="1"/>
  <c r="J58" i="1"/>
  <c r="H57" i="2"/>
  <c r="G57" i="2"/>
  <c r="E57" i="2"/>
  <c r="D57" i="2"/>
  <c r="E58" i="1"/>
  <c r="D58" i="1"/>
  <c r="H58" i="1"/>
  <c r="G58" i="1"/>
  <c r="P34" i="2"/>
  <c r="P19" i="2"/>
  <c r="P3" i="2"/>
  <c r="K57" i="5"/>
  <c r="J57" i="5"/>
  <c r="K43" i="5"/>
  <c r="J43" i="5"/>
  <c r="H43" i="5"/>
  <c r="G43" i="5"/>
  <c r="E43" i="5"/>
  <c r="D43" i="5"/>
  <c r="O35" i="5"/>
  <c r="N35" i="5"/>
  <c r="M35" i="5"/>
  <c r="P35" i="5" s="1"/>
  <c r="K28" i="5"/>
  <c r="J28" i="5"/>
  <c r="H28" i="5"/>
  <c r="G28" i="5"/>
  <c r="E28" i="5"/>
  <c r="D28" i="5"/>
  <c r="K12" i="5"/>
  <c r="J12" i="5"/>
  <c r="H12" i="5"/>
  <c r="G12" i="5"/>
  <c r="E12" i="5"/>
  <c r="D12" i="5"/>
  <c r="B12" i="5"/>
  <c r="A12" i="5"/>
  <c r="O4" i="5"/>
  <c r="N4" i="5"/>
  <c r="M4" i="5"/>
  <c r="P4" i="5" s="1"/>
  <c r="K57" i="2"/>
  <c r="J57" i="2"/>
  <c r="K58" i="3"/>
  <c r="J58" i="3"/>
  <c r="K12" i="3"/>
  <c r="J12" i="3"/>
  <c r="K28" i="3"/>
  <c r="J28" i="3"/>
  <c r="E43" i="3"/>
  <c r="D43" i="3"/>
  <c r="K43" i="3"/>
  <c r="J43" i="3"/>
  <c r="H43" i="3"/>
  <c r="G43" i="3"/>
  <c r="K28" i="2"/>
  <c r="J28" i="2"/>
  <c r="K44" i="1"/>
  <c r="J44" i="1"/>
  <c r="H44" i="1"/>
  <c r="G44" i="1"/>
  <c r="E44" i="1"/>
  <c r="D44" i="1"/>
  <c r="K28" i="1"/>
  <c r="K12" i="1"/>
  <c r="K43" i="2"/>
  <c r="J43" i="2"/>
  <c r="H43" i="2"/>
  <c r="G43" i="2"/>
  <c r="E43" i="2"/>
  <c r="D43" i="2"/>
  <c r="K12" i="2"/>
  <c r="J12" i="2"/>
  <c r="P34" i="3"/>
  <c r="P33" i="3"/>
  <c r="P19" i="3"/>
  <c r="P18" i="3"/>
  <c r="P3" i="3"/>
  <c r="P2" i="3"/>
  <c r="P35" i="1" l="1"/>
  <c r="P19" i="1"/>
  <c r="P3" i="1"/>
  <c r="P34" i="1"/>
  <c r="P18" i="1"/>
  <c r="P2" i="1"/>
  <c r="J28" i="1" l="1"/>
  <c r="J12" i="1"/>
  <c r="H28" i="3"/>
  <c r="G28" i="3"/>
  <c r="E28" i="3"/>
  <c r="D28" i="3"/>
  <c r="H12" i="3"/>
  <c r="G12" i="3"/>
  <c r="E12" i="3"/>
  <c r="D12" i="3"/>
  <c r="B12" i="3"/>
  <c r="A12" i="3"/>
  <c r="H28" i="2"/>
  <c r="G28" i="2"/>
  <c r="E28" i="2"/>
  <c r="D28" i="2"/>
  <c r="H12" i="2"/>
  <c r="G12" i="2"/>
  <c r="E12" i="2"/>
  <c r="D12" i="2"/>
  <c r="B12" i="2"/>
  <c r="A12" i="2"/>
  <c r="H28" i="1"/>
  <c r="G28" i="1"/>
  <c r="E28" i="1"/>
  <c r="D28" i="1"/>
  <c r="H12" i="1"/>
  <c r="G12" i="1"/>
  <c r="E12" i="1"/>
  <c r="D12" i="1"/>
  <c r="B12" i="1"/>
  <c r="A12" i="1"/>
</calcChain>
</file>

<file path=xl/sharedStrings.xml><?xml version="1.0" encoding="utf-8"?>
<sst xmlns="http://schemas.openxmlformats.org/spreadsheetml/2006/main" count="121" uniqueCount="29">
  <si>
    <t xml:space="preserve">Design 1 </t>
  </si>
  <si>
    <t>Design 2 finetune</t>
  </si>
  <si>
    <t>Design 3 finetune</t>
  </si>
  <si>
    <t>Design 2 Full RL</t>
  </si>
  <si>
    <t>Design 3 Full RL</t>
  </si>
  <si>
    <t>Design 4 finetune</t>
  </si>
  <si>
    <t>Design 4 Full RL</t>
  </si>
  <si>
    <t>Design 2 GMC Sratch</t>
  </si>
  <si>
    <t>Design 3 GMC Sratch</t>
  </si>
  <si>
    <t>Design 4 GMC Sratch</t>
  </si>
  <si>
    <t>avg</t>
  </si>
  <si>
    <t>3vs4 p-value</t>
  </si>
  <si>
    <t>2vs3 p-value</t>
  </si>
  <si>
    <t>2vs4 p-value</t>
  </si>
  <si>
    <t>uniform</t>
  </si>
  <si>
    <t>effect size</t>
  </si>
  <si>
    <t>Design 2 GMC Scratch</t>
  </si>
  <si>
    <t>Design 3 Scratch</t>
  </si>
  <si>
    <t>p-value(anomaly)</t>
  </si>
  <si>
    <t>p-value(normal)</t>
  </si>
  <si>
    <t>.</t>
  </si>
  <si>
    <t>Design 4 pre</t>
  </si>
  <si>
    <t>p-value</t>
  </si>
  <si>
    <t>Design 3 GMC Scratch</t>
  </si>
  <si>
    <t>Design 4 GMC Scratch</t>
  </si>
  <si>
    <t>Design 2 before finetune</t>
  </si>
  <si>
    <t>Design 3 before finetune</t>
  </si>
  <si>
    <t>Design 4 before finetune</t>
  </si>
  <si>
    <t>Design 3 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</si>
</sst>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right" wrapText="1"/>
    </xf>
    <xf numFmtId="0" fontId="3" fillId="0" borderId="0" xfId="0" applyFont="1"/>
    <xf numFmtId="16" fontId="3" fillId="0" borderId="0" xfId="0" applyNumberFormat="1" applyFont="1"/>
    <xf numFmtId="16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8"/>
  <sheetViews>
    <sheetView tabSelected="1" topLeftCell="A32" zoomScaleNormal="100" workbookViewId="0">
      <selection activeCell="K62" sqref="K62"/>
    </sheetView>
  </sheetViews>
  <sheetFormatPr defaultColWidth="12.7109375" defaultRowHeight="15.75" customHeight="1" x14ac:dyDescent="0.2"/>
  <cols>
    <col min="4" max="4" width="20.7109375" customWidth="1"/>
    <col min="7" max="7" width="23.42578125" customWidth="1"/>
    <col min="10" max="10" width="25.140625" customWidth="1"/>
  </cols>
  <sheetData>
    <row r="1" spans="1:16" ht="12.75" x14ac:dyDescent="0.2">
      <c r="A1" s="1" t="s">
        <v>0</v>
      </c>
      <c r="D1" s="1" t="s">
        <v>1</v>
      </c>
      <c r="G1" s="1" t="s">
        <v>5</v>
      </c>
      <c r="J1" t="s">
        <v>2</v>
      </c>
      <c r="M1" s="5" t="s">
        <v>11</v>
      </c>
      <c r="N1" s="4" t="s">
        <v>12</v>
      </c>
      <c r="O1" s="4" t="s">
        <v>13</v>
      </c>
      <c r="P1" s="4" t="s">
        <v>10</v>
      </c>
    </row>
    <row r="2" spans="1:16" ht="12.75" x14ac:dyDescent="0.2">
      <c r="A2" s="2">
        <v>-1.0249999999999999</v>
      </c>
      <c r="D2" s="2">
        <v>-1.054</v>
      </c>
      <c r="G2" s="2">
        <v>-2.4039999999999999</v>
      </c>
      <c r="J2">
        <v>-1.3580000000000001</v>
      </c>
      <c r="L2" s="4" t="s">
        <v>22</v>
      </c>
      <c r="M2">
        <v>1.8000000000000001E-4</v>
      </c>
      <c r="N2">
        <v>1.8000000000000001E-4</v>
      </c>
      <c r="O2">
        <v>1.8000000000000001E-4</v>
      </c>
      <c r="P2">
        <f>AVERAGE(M2:O2)</f>
        <v>1.8000000000000001E-4</v>
      </c>
    </row>
    <row r="3" spans="1:16" ht="12.75" x14ac:dyDescent="0.2">
      <c r="A3" s="2">
        <v>-1.004</v>
      </c>
      <c r="D3" s="2">
        <v>-1.0409999999999999</v>
      </c>
      <c r="G3" s="2">
        <v>-2.5339999999999998</v>
      </c>
      <c r="J3">
        <v>-1.4279999999999999</v>
      </c>
      <c r="L3" t="s">
        <v>15</v>
      </c>
      <c r="M3">
        <v>0.83699999999999997</v>
      </c>
      <c r="N3">
        <v>0.83699999999999997</v>
      </c>
      <c r="O3">
        <v>0.83699999999999997</v>
      </c>
      <c r="P3">
        <f>AVERAGE(M3:O3)</f>
        <v>0.83700000000000008</v>
      </c>
    </row>
    <row r="4" spans="1:16" ht="12.75" x14ac:dyDescent="0.2">
      <c r="A4" s="2">
        <v>-1.0249999999999999</v>
      </c>
      <c r="D4" s="2">
        <v>-1.0289999999999999</v>
      </c>
      <c r="G4" s="2">
        <v>-2.4319999999999999</v>
      </c>
      <c r="J4">
        <v>-1.3540000000000001</v>
      </c>
    </row>
    <row r="5" spans="1:16" ht="12.75" x14ac:dyDescent="0.2">
      <c r="A5" s="2">
        <v>-1.0589999999999999</v>
      </c>
      <c r="D5" s="2">
        <v>-1.08</v>
      </c>
      <c r="G5" s="2">
        <v>-2.52</v>
      </c>
      <c r="J5">
        <v>-1.4470000000000001</v>
      </c>
    </row>
    <row r="6" spans="1:16" ht="12.75" x14ac:dyDescent="0.2">
      <c r="A6" s="2">
        <v>-1.0589999999999999</v>
      </c>
      <c r="D6" s="2">
        <v>-1.042</v>
      </c>
      <c r="G6" s="2">
        <v>-2.669</v>
      </c>
      <c r="J6">
        <v>-1.4159999999999999</v>
      </c>
    </row>
    <row r="7" spans="1:16" ht="12.75" x14ac:dyDescent="0.2">
      <c r="A7" s="2">
        <v>-0.95599999999999996</v>
      </c>
      <c r="D7" s="2">
        <v>-0.91</v>
      </c>
      <c r="G7" s="2">
        <v>-2.302</v>
      </c>
      <c r="J7">
        <v>-1.321</v>
      </c>
    </row>
    <row r="8" spans="1:16" ht="12.75" x14ac:dyDescent="0.2">
      <c r="A8" s="2">
        <v>-1.032</v>
      </c>
      <c r="D8" s="2">
        <v>-1.056</v>
      </c>
      <c r="G8" s="2">
        <v>-2.5739999999999998</v>
      </c>
      <c r="J8">
        <v>-1.409</v>
      </c>
    </row>
    <row r="9" spans="1:16" ht="12.75" x14ac:dyDescent="0.2">
      <c r="A9" s="2">
        <v>-1.0189999999999999</v>
      </c>
      <c r="D9" s="2">
        <v>-1.0489999999999999</v>
      </c>
      <c r="G9" s="2">
        <v>-2.427</v>
      </c>
      <c r="J9">
        <v>-1.39</v>
      </c>
    </row>
    <row r="10" spans="1:16" ht="12.75" x14ac:dyDescent="0.2">
      <c r="A10" s="2">
        <v>-1.04</v>
      </c>
      <c r="D10" s="2">
        <v>-1.0329999999999999</v>
      </c>
      <c r="G10" s="2">
        <v>-2.3580000000000001</v>
      </c>
      <c r="J10">
        <v>-1.373</v>
      </c>
    </row>
    <row r="11" spans="1:16" ht="12.75" x14ac:dyDescent="0.2">
      <c r="A11" s="2">
        <v>-0.97799999999999998</v>
      </c>
      <c r="D11" s="2">
        <v>-0.98899999999999999</v>
      </c>
      <c r="G11" s="2">
        <v>-2.4169999999999998</v>
      </c>
      <c r="J11">
        <v>-1.3280000000000001</v>
      </c>
    </row>
    <row r="12" spans="1:16" ht="12.75" x14ac:dyDescent="0.2">
      <c r="A12" s="1">
        <f>AVERAGE(A2:A11)</f>
        <v>-1.0197000000000001</v>
      </c>
      <c r="B12" s="1">
        <f>_xlfn.STDEV.S(A2:A11)</f>
        <v>3.2917573827162087E-2</v>
      </c>
      <c r="D12" s="1">
        <f>AVERAGE(D2:D11)</f>
        <v>-1.0283</v>
      </c>
      <c r="E12" s="1">
        <f>_xlfn.STDEV.S(D2:D11)</f>
        <v>4.7656292577394455E-2</v>
      </c>
      <c r="G12" s="1">
        <f>AVERAGE(G2:G11)</f>
        <v>-2.4637000000000002</v>
      </c>
      <c r="H12" s="1">
        <f>_xlfn.STDEV.S(G2:G11)</f>
        <v>0.10946440314346736</v>
      </c>
      <c r="J12" s="1">
        <f>AVERAGE(J2:J11)</f>
        <v>-1.3824000000000001</v>
      </c>
      <c r="K12" s="1">
        <f>_xlfn.STDEV.S(J2:J11)</f>
        <v>4.2643743842313932E-2</v>
      </c>
    </row>
    <row r="13" spans="1:16" ht="15.75" customHeight="1" x14ac:dyDescent="0.2">
      <c r="D13" s="4"/>
    </row>
    <row r="17" spans="4:16" ht="12.75" x14ac:dyDescent="0.2">
      <c r="D17" s="1" t="s">
        <v>3</v>
      </c>
      <c r="G17" s="1" t="s">
        <v>6</v>
      </c>
      <c r="J17" t="s">
        <v>4</v>
      </c>
      <c r="M17" s="5" t="s">
        <v>11</v>
      </c>
      <c r="N17" s="4" t="s">
        <v>12</v>
      </c>
      <c r="O17" s="4" t="s">
        <v>13</v>
      </c>
      <c r="P17" s="4" t="s">
        <v>10</v>
      </c>
    </row>
    <row r="18" spans="4:16" ht="12.75" x14ac:dyDescent="0.2">
      <c r="D18" s="2">
        <v>-0.95799999999999996</v>
      </c>
      <c r="G18" s="2">
        <v>-3.177</v>
      </c>
      <c r="J18">
        <v>-2.1789999999999998</v>
      </c>
      <c r="L18" t="s">
        <v>22</v>
      </c>
      <c r="M18">
        <v>3.3E-4</v>
      </c>
      <c r="N18">
        <v>1.8000000000000001E-4</v>
      </c>
      <c r="O18">
        <v>1.8000000000000001E-4</v>
      </c>
      <c r="P18">
        <f>AVERAGE(M18:O18)</f>
        <v>2.3000000000000003E-4</v>
      </c>
    </row>
    <row r="19" spans="4:16" ht="12.75" x14ac:dyDescent="0.2">
      <c r="D19" s="2">
        <v>-0.95099999999999996</v>
      </c>
      <c r="G19" s="2">
        <v>-2.6309999999999998</v>
      </c>
      <c r="J19">
        <v>-2.2240000000000002</v>
      </c>
      <c r="L19" t="s">
        <v>15</v>
      </c>
      <c r="M19">
        <v>0.80200000000000005</v>
      </c>
      <c r="N19">
        <v>0.83699999999999997</v>
      </c>
      <c r="O19">
        <v>0.83699999999999997</v>
      </c>
      <c r="P19">
        <f>AVERAGE(M19:O19)</f>
        <v>0.82533333333333336</v>
      </c>
    </row>
    <row r="20" spans="4:16" ht="12.75" x14ac:dyDescent="0.2">
      <c r="D20" s="2">
        <v>-1.04</v>
      </c>
      <c r="G20" s="2">
        <v>-2.54</v>
      </c>
      <c r="J20">
        <v>-2.1259999999999999</v>
      </c>
    </row>
    <row r="21" spans="4:16" ht="12.75" x14ac:dyDescent="0.2">
      <c r="D21" s="2">
        <v>-1.1200000000000001</v>
      </c>
      <c r="G21" s="2">
        <v>-2.6280000000000001</v>
      </c>
      <c r="J21">
        <v>-2.3359999999999999</v>
      </c>
    </row>
    <row r="22" spans="4:16" ht="12.75" x14ac:dyDescent="0.2">
      <c r="D22" s="2">
        <v>-0.91</v>
      </c>
      <c r="G22" s="2">
        <v>-2.8849999999999998</v>
      </c>
      <c r="J22">
        <v>-2.2709999999999999</v>
      </c>
    </row>
    <row r="23" spans="4:16" ht="12.75" x14ac:dyDescent="0.2">
      <c r="D23" s="2">
        <v>-0.872</v>
      </c>
      <c r="G23" s="2">
        <v>-2.3090000000000002</v>
      </c>
      <c r="J23">
        <v>-2.1890000000000001</v>
      </c>
    </row>
    <row r="24" spans="4:16" ht="12.75" x14ac:dyDescent="0.2">
      <c r="D24" s="2">
        <v>-1.117</v>
      </c>
      <c r="G24" s="2">
        <v>-2.9140000000000001</v>
      </c>
      <c r="J24">
        <v>-2.2469999999999999</v>
      </c>
    </row>
    <row r="25" spans="4:16" ht="12.75" x14ac:dyDescent="0.2">
      <c r="D25" s="2">
        <v>-1.0009999999999999</v>
      </c>
      <c r="G25" s="2">
        <v>-2.7410000000000001</v>
      </c>
      <c r="J25">
        <v>-2.258</v>
      </c>
    </row>
    <row r="26" spans="4:16" ht="12.75" x14ac:dyDescent="0.2">
      <c r="D26" s="2">
        <v>-0.96099999999999997</v>
      </c>
      <c r="G26" s="2">
        <v>-2.8279999999999998</v>
      </c>
      <c r="J26">
        <v>-2.335</v>
      </c>
    </row>
    <row r="27" spans="4:16" ht="12.75" x14ac:dyDescent="0.2">
      <c r="D27" s="2">
        <v>-1.119</v>
      </c>
      <c r="G27" s="2">
        <v>-2.5409999999999999</v>
      </c>
      <c r="J27">
        <v>-2.1949999999999998</v>
      </c>
    </row>
    <row r="28" spans="4:16" ht="12.75" x14ac:dyDescent="0.2">
      <c r="D28" s="1">
        <f>AVERAGE(D18:D27)</f>
        <v>-1.0048999999999999</v>
      </c>
      <c r="E28" s="1">
        <f>_xlfn.STDEV.S(D18:D27)</f>
        <v>9.0542132611164963E-2</v>
      </c>
      <c r="G28" s="1">
        <f>AVERAGE(G18:G27)</f>
        <v>-2.7193999999999998</v>
      </c>
      <c r="H28" s="1">
        <f>_xlfn.STDEV.S(G18:G27)</f>
        <v>0.24393951891583471</v>
      </c>
      <c r="J28" s="1">
        <f>AVERAGE(J18:J27)</f>
        <v>-2.2359999999999998</v>
      </c>
      <c r="K28" s="1">
        <f>_xlfn.STDEV.S(J18:J27)</f>
        <v>6.7506378299469691E-2</v>
      </c>
      <c r="L28" s="1"/>
    </row>
    <row r="29" spans="4:16" ht="15.75" customHeight="1" x14ac:dyDescent="0.2">
      <c r="D29" s="4" t="s">
        <v>14</v>
      </c>
    </row>
    <row r="33" spans="4:16" ht="15.75" customHeight="1" thickBot="1" x14ac:dyDescent="0.25">
      <c r="D33" t="s">
        <v>16</v>
      </c>
      <c r="G33" t="s">
        <v>24</v>
      </c>
      <c r="J33" t="s">
        <v>23</v>
      </c>
      <c r="M33" s="5" t="s">
        <v>11</v>
      </c>
      <c r="N33" s="4" t="s">
        <v>13</v>
      </c>
      <c r="O33" s="4" t="s">
        <v>12</v>
      </c>
      <c r="P33" s="4" t="s">
        <v>10</v>
      </c>
    </row>
    <row r="34" spans="4:16" ht="15.75" customHeight="1" thickBot="1" x14ac:dyDescent="0.25">
      <c r="D34" s="3">
        <v>-1.099</v>
      </c>
      <c r="G34" s="3">
        <v>-2.5840000000000001</v>
      </c>
      <c r="J34">
        <v>-1.2290000000000001</v>
      </c>
      <c r="L34" t="s">
        <v>22</v>
      </c>
      <c r="M34">
        <v>1.8000000000000001E-4</v>
      </c>
      <c r="N34">
        <v>1.8000000000000001E-4</v>
      </c>
      <c r="O34">
        <v>4.4000000000000002E-4</v>
      </c>
      <c r="P34">
        <f>AVERAGE(M34:O34)</f>
        <v>2.6666666666666668E-4</v>
      </c>
    </row>
    <row r="35" spans="4:16" ht="15.75" customHeight="1" thickBot="1" x14ac:dyDescent="0.25">
      <c r="D35" s="3">
        <v>-0.91900000000000004</v>
      </c>
      <c r="G35" s="3">
        <v>-2.3140000000000001</v>
      </c>
      <c r="J35">
        <v>-1.222</v>
      </c>
      <c r="L35" t="s">
        <v>15</v>
      </c>
      <c r="M35">
        <v>0.83699999999999997</v>
      </c>
      <c r="N35">
        <v>0.83699999999999997</v>
      </c>
      <c r="O35">
        <v>0.78600000000000003</v>
      </c>
      <c r="P35">
        <f>AVERAGE(M35:O35)</f>
        <v>0.82</v>
      </c>
    </row>
    <row r="36" spans="4:16" ht="15.75" customHeight="1" thickBot="1" x14ac:dyDescent="0.25">
      <c r="D36" s="3">
        <v>-0.996</v>
      </c>
      <c r="G36" s="3">
        <v>-2.2349999999999999</v>
      </c>
      <c r="J36">
        <v>-1.1539999999999999</v>
      </c>
    </row>
    <row r="37" spans="4:16" ht="15.75" customHeight="1" thickBot="1" x14ac:dyDescent="0.25">
      <c r="D37" s="3">
        <v>-1.0620000000000001</v>
      </c>
      <c r="G37" s="3">
        <v>-2.3839999999999999</v>
      </c>
      <c r="J37">
        <v>-1.246</v>
      </c>
    </row>
    <row r="38" spans="4:16" ht="15.75" customHeight="1" thickBot="1" x14ac:dyDescent="0.25">
      <c r="D38" s="3">
        <v>-1.071</v>
      </c>
      <c r="G38" s="3">
        <v>-2.2839999999999998</v>
      </c>
      <c r="J38">
        <v>-1.22</v>
      </c>
    </row>
    <row r="39" spans="4:16" ht="15.75" customHeight="1" thickBot="1" x14ac:dyDescent="0.25">
      <c r="D39" s="3">
        <v>-0.98499999999999999</v>
      </c>
      <c r="G39" s="3">
        <v>-2.0880000000000001</v>
      </c>
      <c r="J39">
        <v>-1.1100000000000001</v>
      </c>
    </row>
    <row r="40" spans="4:16" ht="15.75" customHeight="1" thickBot="1" x14ac:dyDescent="0.25">
      <c r="D40" s="3">
        <v>-1.0509999999999999</v>
      </c>
      <c r="G40" s="3">
        <v>-2.4169999999999998</v>
      </c>
      <c r="J40">
        <v>-1.2310000000000001</v>
      </c>
    </row>
    <row r="41" spans="4:16" ht="15.75" customHeight="1" thickBot="1" x14ac:dyDescent="0.25">
      <c r="D41" s="3">
        <v>-1.141</v>
      </c>
      <c r="G41" s="3">
        <v>-2.121</v>
      </c>
      <c r="J41">
        <v>-1.2130000000000001</v>
      </c>
    </row>
    <row r="42" spans="4:16" ht="15.75" customHeight="1" thickBot="1" x14ac:dyDescent="0.25">
      <c r="D42" s="3">
        <v>-1.1180000000000001</v>
      </c>
      <c r="G42" s="3">
        <v>-2.3820000000000001</v>
      </c>
      <c r="J42">
        <v>-1.218</v>
      </c>
    </row>
    <row r="43" spans="4:16" ht="15.75" customHeight="1" thickBot="1" x14ac:dyDescent="0.25">
      <c r="D43" s="3">
        <v>-0.86</v>
      </c>
      <c r="G43" s="3">
        <v>-2.17</v>
      </c>
      <c r="J43">
        <v>-1.133</v>
      </c>
    </row>
    <row r="44" spans="4:16" ht="15.75" customHeight="1" x14ac:dyDescent="0.2">
      <c r="D44" s="1">
        <f>AVERAGE(D34:D43)</f>
        <v>-1.0302</v>
      </c>
      <c r="E44" s="1">
        <f>_xlfn.STDEV.S(D34:D43)</f>
        <v>8.9674473018307235E-2</v>
      </c>
      <c r="G44" s="1">
        <f>AVERAGE(G34:G43)</f>
        <v>-2.2978999999999998</v>
      </c>
      <c r="H44" s="1">
        <f>_xlfn.STDEV.S(G34:G43)</f>
        <v>0.15152663865545959</v>
      </c>
      <c r="J44" s="1">
        <f>AVERAGE(J34:J43)</f>
        <v>-1.1976</v>
      </c>
      <c r="K44" s="1">
        <f>_xlfn.STDEV.S(J34:J43)</f>
        <v>4.7072520882381286E-2</v>
      </c>
    </row>
    <row r="46" spans="4:16" ht="15.75" customHeight="1" x14ac:dyDescent="0.2">
      <c r="M46" s="6"/>
    </row>
    <row r="47" spans="4:16" ht="15.75" customHeight="1" x14ac:dyDescent="0.2">
      <c r="D47" t="s">
        <v>25</v>
      </c>
      <c r="G47" t="s">
        <v>26</v>
      </c>
      <c r="J47" t="s">
        <v>27</v>
      </c>
    </row>
    <row r="48" spans="4:16" ht="15.75" customHeight="1" x14ac:dyDescent="0.2">
      <c r="D48">
        <v>-6.0919999999999996</v>
      </c>
      <c r="G48">
        <v>-5.8</v>
      </c>
      <c r="J48">
        <v>-5.3760000000000003</v>
      </c>
    </row>
    <row r="49" spans="4:11" ht="15.75" customHeight="1" x14ac:dyDescent="0.2">
      <c r="D49">
        <v>-6.0270000000000001</v>
      </c>
      <c r="G49">
        <v>-5.8520000000000003</v>
      </c>
      <c r="J49">
        <v>-5.4480000000000004</v>
      </c>
    </row>
    <row r="50" spans="4:11" ht="15.75" customHeight="1" x14ac:dyDescent="0.2">
      <c r="D50">
        <v>-5.8719999999999999</v>
      </c>
      <c r="G50">
        <v>-5.8129999999999997</v>
      </c>
      <c r="J50">
        <v>-5.4619999999999997</v>
      </c>
    </row>
    <row r="51" spans="4:11" ht="15.75" customHeight="1" x14ac:dyDescent="0.2">
      <c r="D51">
        <v>-5.9850000000000003</v>
      </c>
      <c r="G51">
        <v>-5.923</v>
      </c>
      <c r="J51">
        <v>-5.5860000000000003</v>
      </c>
    </row>
    <row r="52" spans="4:11" ht="15.75" customHeight="1" x14ac:dyDescent="0.2">
      <c r="D52">
        <v>-6.02</v>
      </c>
      <c r="G52">
        <v>-5.7679999999999998</v>
      </c>
      <c r="J52">
        <v>-5.4370000000000003</v>
      </c>
    </row>
    <row r="53" spans="4:11" ht="15.75" customHeight="1" x14ac:dyDescent="0.2">
      <c r="D53">
        <v>-5.7939999999999996</v>
      </c>
      <c r="G53">
        <v>-5.7149999999999999</v>
      </c>
      <c r="J53">
        <v>-5.3810000000000002</v>
      </c>
    </row>
    <row r="54" spans="4:11" ht="15.75" customHeight="1" x14ac:dyDescent="0.2">
      <c r="D54">
        <v>-6.024</v>
      </c>
      <c r="G54">
        <v>-5.8520000000000003</v>
      </c>
      <c r="J54">
        <v>-5.4619999999999997</v>
      </c>
    </row>
    <row r="55" spans="4:11" ht="15.75" customHeight="1" x14ac:dyDescent="0.2">
      <c r="D55">
        <v>-6.0119999999999996</v>
      </c>
      <c r="G55">
        <v>-5.7869999999999999</v>
      </c>
      <c r="J55">
        <v>-5.4539999999999997</v>
      </c>
    </row>
    <row r="56" spans="4:11" ht="15.75" customHeight="1" x14ac:dyDescent="0.2">
      <c r="D56">
        <v>-6.0609999999999999</v>
      </c>
      <c r="G56">
        <v>-5.7789999999999999</v>
      </c>
      <c r="J56">
        <v>-5.4009999999999998</v>
      </c>
    </row>
    <row r="57" spans="4:11" ht="15.75" customHeight="1" x14ac:dyDescent="0.2">
      <c r="D57">
        <v>-5.0860000000000003</v>
      </c>
      <c r="G57">
        <v>-5.7850000000000001</v>
      </c>
      <c r="J57">
        <v>-5.3620000000000001</v>
      </c>
    </row>
    <row r="58" spans="4:11" ht="15.75" customHeight="1" x14ac:dyDescent="0.2">
      <c r="D58">
        <f>AVERAGE(D48:D57)</f>
        <v>-5.8972999999999995</v>
      </c>
      <c r="E58">
        <f>_xlfn.STDEV.S(D48:D57)</f>
        <v>0.29870128147625258</v>
      </c>
      <c r="G58">
        <f>AVERAGE(G48:G57)</f>
        <v>-5.8073999999999995</v>
      </c>
      <c r="H58">
        <f>_xlfn.STDEV.S(G48:G57)</f>
        <v>5.7001364506085006E-2</v>
      </c>
      <c r="J58">
        <f>AVERAGE(J48:J57)</f>
        <v>-5.4369000000000005</v>
      </c>
      <c r="K58">
        <f>_xlfn.STDEV.S(J48:J57)</f>
        <v>6.4669158027610044E-2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57"/>
  <sheetViews>
    <sheetView workbookViewId="0">
      <selection activeCell="G47" sqref="G47"/>
    </sheetView>
  </sheetViews>
  <sheetFormatPr defaultColWidth="12.7109375" defaultRowHeight="15.75" customHeight="1" x14ac:dyDescent="0.2"/>
  <cols>
    <col min="4" max="4" width="14.42578125" customWidth="1"/>
    <col min="12" max="12" width="20" customWidth="1"/>
  </cols>
  <sheetData>
    <row r="1" spans="1:16" ht="15.75" customHeight="1" x14ac:dyDescent="0.2">
      <c r="A1" s="1" t="s">
        <v>0</v>
      </c>
      <c r="D1" s="1" t="s">
        <v>1</v>
      </c>
      <c r="G1" s="1" t="s">
        <v>2</v>
      </c>
      <c r="J1" t="s">
        <v>5</v>
      </c>
      <c r="M1" s="5" t="s">
        <v>11</v>
      </c>
      <c r="N1" s="4" t="s">
        <v>12</v>
      </c>
      <c r="O1" s="4" t="s">
        <v>13</v>
      </c>
      <c r="P1" s="4" t="s">
        <v>10</v>
      </c>
    </row>
    <row r="2" spans="1:16" ht="15.75" customHeight="1" x14ac:dyDescent="0.2">
      <c r="A2" s="1">
        <v>1.68</v>
      </c>
      <c r="D2" s="2">
        <v>1.71</v>
      </c>
      <c r="G2" s="2">
        <v>1</v>
      </c>
      <c r="J2">
        <v>0.97</v>
      </c>
      <c r="L2" s="4" t="s">
        <v>18</v>
      </c>
      <c r="M2">
        <v>0.28754999999999997</v>
      </c>
      <c r="N2">
        <v>1.7000000000000001E-4</v>
      </c>
      <c r="O2">
        <v>1.8000000000000001E-4</v>
      </c>
    </row>
    <row r="3" spans="1:16" ht="15.75" customHeight="1" x14ac:dyDescent="0.2">
      <c r="A3" s="1">
        <v>1.78</v>
      </c>
      <c r="D3" s="2">
        <v>1.95</v>
      </c>
      <c r="G3" s="2">
        <v>1.1200000000000001</v>
      </c>
      <c r="J3">
        <v>0.82</v>
      </c>
      <c r="L3" s="4" t="s">
        <v>15</v>
      </c>
      <c r="M3">
        <v>0.23799999999999999</v>
      </c>
      <c r="N3">
        <v>0.84</v>
      </c>
      <c r="O3">
        <v>0.84699999999999998</v>
      </c>
      <c r="P3">
        <f>AVERAGE(M3:O3)</f>
        <v>0.64166666666666661</v>
      </c>
    </row>
    <row r="4" spans="1:16" ht="15.75" customHeight="1" x14ac:dyDescent="0.2">
      <c r="A4" s="1">
        <v>1.91</v>
      </c>
      <c r="D4" s="2">
        <v>1.87</v>
      </c>
      <c r="G4" s="2">
        <v>0.86</v>
      </c>
      <c r="J4">
        <v>0.98</v>
      </c>
      <c r="L4" s="4"/>
    </row>
    <row r="5" spans="1:16" ht="15.75" customHeight="1" x14ac:dyDescent="0.2">
      <c r="A5" s="1">
        <v>2.0299999999999998</v>
      </c>
      <c r="D5" s="2">
        <v>1.68</v>
      </c>
      <c r="G5" s="2">
        <v>1</v>
      </c>
      <c r="J5">
        <v>0.92</v>
      </c>
    </row>
    <row r="6" spans="1:16" ht="15.75" customHeight="1" x14ac:dyDescent="0.2">
      <c r="A6" s="1">
        <v>1.93</v>
      </c>
      <c r="D6" s="2">
        <v>1.64</v>
      </c>
      <c r="G6" s="2">
        <v>1</v>
      </c>
      <c r="J6">
        <v>0.93</v>
      </c>
    </row>
    <row r="7" spans="1:16" ht="15.75" customHeight="1" x14ac:dyDescent="0.2">
      <c r="A7" s="1">
        <v>1.67</v>
      </c>
      <c r="D7" s="2">
        <v>1.85</v>
      </c>
      <c r="G7" s="2">
        <v>0.94</v>
      </c>
      <c r="J7">
        <v>0.75</v>
      </c>
    </row>
    <row r="8" spans="1:16" ht="15.75" customHeight="1" x14ac:dyDescent="0.2">
      <c r="A8" s="1">
        <v>1.44</v>
      </c>
      <c r="D8" s="2">
        <v>1.69</v>
      </c>
      <c r="G8" s="2">
        <v>0.92</v>
      </c>
      <c r="J8">
        <v>0.94</v>
      </c>
    </row>
    <row r="9" spans="1:16" ht="15.75" customHeight="1" x14ac:dyDescent="0.2">
      <c r="A9" s="1">
        <v>1.63</v>
      </c>
      <c r="D9" s="2">
        <v>1.65</v>
      </c>
      <c r="G9" s="2">
        <v>0.84</v>
      </c>
      <c r="J9">
        <v>0.85</v>
      </c>
    </row>
    <row r="10" spans="1:16" ht="15.75" customHeight="1" x14ac:dyDescent="0.2">
      <c r="A10" s="1">
        <v>1.66</v>
      </c>
      <c r="D10" s="2">
        <v>1.97</v>
      </c>
      <c r="G10" s="2">
        <v>1</v>
      </c>
      <c r="J10">
        <v>1.01</v>
      </c>
    </row>
    <row r="11" spans="1:16" ht="15.75" customHeight="1" x14ac:dyDescent="0.2">
      <c r="A11" s="1">
        <v>1.55</v>
      </c>
      <c r="D11" s="2">
        <v>1.79</v>
      </c>
      <c r="G11" s="2">
        <v>0.85</v>
      </c>
      <c r="J11">
        <v>0.87</v>
      </c>
    </row>
    <row r="12" spans="1:16" ht="15.75" customHeight="1" x14ac:dyDescent="0.2">
      <c r="A12" s="1">
        <f>AVERAGE(A2:A11)</f>
        <v>1.7280000000000002</v>
      </c>
      <c r="B12" s="1">
        <f>_xlfn.STDEV.S(A2:A11)</f>
        <v>0.18329090418118077</v>
      </c>
      <c r="D12" s="1">
        <f>AVERAGE(D2:D11)</f>
        <v>1.7799999999999998</v>
      </c>
      <c r="E12" s="1">
        <f>_xlfn.STDEV.S(D2:D11)</f>
        <v>0.12364824660660942</v>
      </c>
      <c r="G12" s="1">
        <f>AVERAGE(G2:G11)</f>
        <v>0.95299999999999996</v>
      </c>
      <c r="H12" s="1">
        <f>_xlfn.STDEV.S(G2:G11)</f>
        <v>8.8198009551740425E-2</v>
      </c>
      <c r="J12" s="1">
        <f>AVERAGE(J2:J11)</f>
        <v>0.90399999999999991</v>
      </c>
      <c r="K12" s="1">
        <f>_xlfn.STDEV.S(J2:J11)</f>
        <v>8.0581221964756367E-2</v>
      </c>
    </row>
    <row r="17" spans="4:16" ht="15.75" customHeight="1" x14ac:dyDescent="0.2">
      <c r="D17" s="1" t="s">
        <v>3</v>
      </c>
      <c r="G17" s="1" t="s">
        <v>4</v>
      </c>
      <c r="J17" t="s">
        <v>6</v>
      </c>
      <c r="M17" s="5" t="s">
        <v>11</v>
      </c>
      <c r="N17" s="4" t="s">
        <v>12</v>
      </c>
      <c r="O17" s="4" t="s">
        <v>13</v>
      </c>
      <c r="P17" s="4" t="s">
        <v>10</v>
      </c>
    </row>
    <row r="18" spans="4:16" ht="15.75" customHeight="1" x14ac:dyDescent="0.2">
      <c r="D18" s="2">
        <v>1.85</v>
      </c>
      <c r="G18" s="2">
        <v>1.63</v>
      </c>
      <c r="J18">
        <v>0.98</v>
      </c>
      <c r="L18" s="4" t="s">
        <v>18</v>
      </c>
      <c r="M18">
        <v>1.8000000000000001E-4</v>
      </c>
      <c r="N18">
        <v>4.4900000000000002E-2</v>
      </c>
      <c r="O18">
        <v>1.8000000000000001E-4</v>
      </c>
    </row>
    <row r="19" spans="4:16" ht="15.75" customHeight="1" x14ac:dyDescent="0.2">
      <c r="D19" s="2">
        <v>2.1</v>
      </c>
      <c r="G19" s="2">
        <v>1.7</v>
      </c>
      <c r="J19">
        <v>1.1200000000000001</v>
      </c>
      <c r="L19" s="4" t="s">
        <v>15</v>
      </c>
      <c r="M19">
        <v>0.83699999999999997</v>
      </c>
      <c r="N19">
        <v>0.44</v>
      </c>
      <c r="O19">
        <v>0.83699999999999997</v>
      </c>
      <c r="P19">
        <f>AVERAGE(M19:O19)</f>
        <v>0.70466666666666666</v>
      </c>
    </row>
    <row r="20" spans="4:16" ht="15.75" customHeight="1" x14ac:dyDescent="0.2">
      <c r="D20" s="2">
        <v>1.98</v>
      </c>
      <c r="G20" s="2">
        <v>1.68</v>
      </c>
      <c r="J20">
        <v>1.06</v>
      </c>
      <c r="L20" s="4"/>
    </row>
    <row r="21" spans="4:16" ht="15.75" customHeight="1" x14ac:dyDescent="0.2">
      <c r="D21" s="2">
        <v>1.89</v>
      </c>
      <c r="G21" s="2">
        <v>1.65</v>
      </c>
      <c r="J21">
        <v>0.97</v>
      </c>
    </row>
    <row r="22" spans="4:16" ht="15.75" customHeight="1" x14ac:dyDescent="0.2">
      <c r="D22" s="2">
        <v>2.0299999999999998</v>
      </c>
      <c r="G22" s="2">
        <v>1.67</v>
      </c>
      <c r="J22">
        <v>0.95</v>
      </c>
    </row>
    <row r="23" spans="4:16" ht="15.75" customHeight="1" x14ac:dyDescent="0.2">
      <c r="D23" s="2">
        <v>1.79</v>
      </c>
      <c r="G23" s="2">
        <v>2.06</v>
      </c>
      <c r="J23">
        <v>0.96</v>
      </c>
    </row>
    <row r="24" spans="4:16" ht="15.75" customHeight="1" x14ac:dyDescent="0.2">
      <c r="D24" s="2">
        <v>1.93</v>
      </c>
      <c r="G24" s="2">
        <v>2.08</v>
      </c>
      <c r="J24">
        <v>1.1299999999999999</v>
      </c>
    </row>
    <row r="25" spans="4:16" ht="15.75" customHeight="1" x14ac:dyDescent="0.2">
      <c r="D25" s="2">
        <v>2</v>
      </c>
      <c r="G25" s="2">
        <v>1.85</v>
      </c>
      <c r="J25">
        <v>0.93</v>
      </c>
    </row>
    <row r="26" spans="4:16" ht="15.75" customHeight="1" x14ac:dyDescent="0.2">
      <c r="D26" s="2">
        <v>1.74</v>
      </c>
      <c r="G26" s="2">
        <v>1.84</v>
      </c>
      <c r="J26">
        <v>1.0900000000000001</v>
      </c>
    </row>
    <row r="27" spans="4:16" ht="15.75" customHeight="1" x14ac:dyDescent="0.2">
      <c r="D27" s="2">
        <v>1.99</v>
      </c>
      <c r="G27" s="2">
        <v>1.74</v>
      </c>
      <c r="J27">
        <v>0.94</v>
      </c>
    </row>
    <row r="28" spans="4:16" ht="15.75" customHeight="1" x14ac:dyDescent="0.2">
      <c r="D28" s="1">
        <f>AVERAGE(D18:D27)</f>
        <v>1.9299999999999997</v>
      </c>
      <c r="E28" s="1">
        <f>_xlfn.STDEV.P(D18:D27)</f>
        <v>0.10658330075579382</v>
      </c>
      <c r="G28" s="1">
        <f>AVERAGE(G18:G27)</f>
        <v>1.7899999999999998</v>
      </c>
      <c r="H28" s="1">
        <f>_xlfn.STDEV.P(G18:G27)</f>
        <v>0.15665248162732698</v>
      </c>
      <c r="J28" s="1">
        <f>AVERAGE(J18:J27)</f>
        <v>1.0129999999999999</v>
      </c>
      <c r="K28" s="1">
        <f>_xlfn.STDEV.P(J18:J27)</f>
        <v>7.430343195303972E-2</v>
      </c>
    </row>
    <row r="32" spans="4:16" ht="15.75" customHeight="1" x14ac:dyDescent="0.2">
      <c r="D32" s="7" t="s">
        <v>16</v>
      </c>
      <c r="G32" s="7" t="s">
        <v>17</v>
      </c>
      <c r="J32" t="s">
        <v>9</v>
      </c>
      <c r="M32" s="5" t="s">
        <v>11</v>
      </c>
      <c r="N32" s="4" t="s">
        <v>12</v>
      </c>
      <c r="O32" s="4" t="s">
        <v>13</v>
      </c>
      <c r="P32" s="4" t="s">
        <v>10</v>
      </c>
    </row>
    <row r="33" spans="4:16" ht="15.75" customHeight="1" x14ac:dyDescent="0.2">
      <c r="D33">
        <v>1.9</v>
      </c>
      <c r="G33">
        <v>1.79</v>
      </c>
      <c r="J33">
        <v>1.44</v>
      </c>
      <c r="L33" s="4" t="s">
        <v>18</v>
      </c>
      <c r="M33">
        <v>2.4000000000000001E-4</v>
      </c>
      <c r="N33">
        <v>1.89E-2</v>
      </c>
      <c r="O33">
        <v>1.8000000000000001E-4</v>
      </c>
    </row>
    <row r="34" spans="4:16" ht="15.75" customHeight="1" x14ac:dyDescent="0.2">
      <c r="D34">
        <v>2.04</v>
      </c>
      <c r="G34">
        <v>1.75</v>
      </c>
      <c r="J34">
        <v>1.29</v>
      </c>
      <c r="L34" s="4" t="s">
        <v>15</v>
      </c>
      <c r="M34">
        <v>0.82</v>
      </c>
      <c r="N34">
        <v>0.52</v>
      </c>
      <c r="O34">
        <v>0.83699999999999997</v>
      </c>
      <c r="P34">
        <f>AVERAGE(M34:O34)</f>
        <v>0.72566666666666657</v>
      </c>
    </row>
    <row r="35" spans="4:16" ht="15.75" customHeight="1" x14ac:dyDescent="0.2">
      <c r="D35">
        <v>1.92</v>
      </c>
      <c r="G35">
        <v>1.75</v>
      </c>
      <c r="J35">
        <v>1.36</v>
      </c>
      <c r="L35" s="4"/>
    </row>
    <row r="36" spans="4:16" ht="15.75" customHeight="1" x14ac:dyDescent="0.2">
      <c r="D36">
        <v>1.74</v>
      </c>
      <c r="G36">
        <v>1.58</v>
      </c>
      <c r="J36">
        <v>1.27</v>
      </c>
    </row>
    <row r="37" spans="4:16" ht="15.75" customHeight="1" x14ac:dyDescent="0.2">
      <c r="D37">
        <v>1.84</v>
      </c>
      <c r="G37">
        <v>1.46</v>
      </c>
      <c r="J37">
        <v>1.44</v>
      </c>
    </row>
    <row r="38" spans="4:16" ht="15.75" customHeight="1" x14ac:dyDescent="0.2">
      <c r="D38">
        <v>1.93</v>
      </c>
      <c r="G38">
        <v>1.84</v>
      </c>
      <c r="J38">
        <v>1.48</v>
      </c>
    </row>
    <row r="39" spans="4:16" ht="15.75" customHeight="1" x14ac:dyDescent="0.2">
      <c r="D39">
        <v>1.79</v>
      </c>
      <c r="G39">
        <v>1.62</v>
      </c>
      <c r="J39">
        <v>1.3</v>
      </c>
    </row>
    <row r="40" spans="4:16" ht="15.75" customHeight="1" x14ac:dyDescent="0.2">
      <c r="D40">
        <v>1.62</v>
      </c>
      <c r="G40">
        <v>1.86</v>
      </c>
      <c r="J40">
        <v>1.42</v>
      </c>
    </row>
    <row r="41" spans="4:16" ht="15.75" customHeight="1" x14ac:dyDescent="0.2">
      <c r="D41">
        <v>1.97</v>
      </c>
      <c r="G41">
        <v>1.72</v>
      </c>
      <c r="J41">
        <v>1.36</v>
      </c>
    </row>
    <row r="42" spans="4:16" ht="15.75" customHeight="1" x14ac:dyDescent="0.2">
      <c r="D42">
        <v>1.77</v>
      </c>
      <c r="G42">
        <v>1.6</v>
      </c>
      <c r="J42">
        <v>1.4</v>
      </c>
    </row>
    <row r="43" spans="4:16" ht="15.75" customHeight="1" x14ac:dyDescent="0.2">
      <c r="D43" s="1">
        <f>AVERAGE(D33:D42)</f>
        <v>1.8519999999999999</v>
      </c>
      <c r="E43" s="1">
        <f>_xlfn.STDEV.S(D33:D42)</f>
        <v>0.12443650768341434</v>
      </c>
      <c r="G43" s="1">
        <f>AVERAGE(G33:G42)</f>
        <v>1.6969999999999998</v>
      </c>
      <c r="H43" s="1">
        <f>_xlfn.STDEV.S(G33:G42)</f>
        <v>0.12780627701503727</v>
      </c>
      <c r="J43" s="1">
        <f>AVERAGE(J33:J42)</f>
        <v>1.3759999999999999</v>
      </c>
      <c r="K43" s="1">
        <f>_xlfn.STDEV.S(J33:J42)</f>
        <v>7.1833139984271849E-2</v>
      </c>
    </row>
    <row r="46" spans="4:16" ht="15.75" customHeight="1" x14ac:dyDescent="0.2">
      <c r="D46" t="s">
        <v>25</v>
      </c>
      <c r="G46" t="s">
        <v>26</v>
      </c>
      <c r="J46" t="s">
        <v>27</v>
      </c>
    </row>
    <row r="47" spans="4:16" ht="15.75" customHeight="1" x14ac:dyDescent="0.2">
      <c r="D47">
        <v>2.0099999999999998</v>
      </c>
      <c r="G47">
        <v>0.8</v>
      </c>
      <c r="J47">
        <v>0.8</v>
      </c>
    </row>
    <row r="48" spans="4:16" ht="15.75" customHeight="1" x14ac:dyDescent="0.2">
      <c r="D48">
        <v>1.5</v>
      </c>
      <c r="G48">
        <v>0.73</v>
      </c>
      <c r="J48">
        <v>0.73</v>
      </c>
    </row>
    <row r="49" spans="4:11" ht="15.75" customHeight="1" x14ac:dyDescent="0.2">
      <c r="D49">
        <v>1.7</v>
      </c>
      <c r="G49">
        <v>0.92</v>
      </c>
      <c r="J49">
        <v>0.92</v>
      </c>
    </row>
    <row r="50" spans="4:11" ht="15.75" customHeight="1" x14ac:dyDescent="0.2">
      <c r="D50">
        <v>1.7</v>
      </c>
      <c r="G50">
        <v>0.92</v>
      </c>
      <c r="J50">
        <v>0.92</v>
      </c>
    </row>
    <row r="51" spans="4:11" ht="15.75" customHeight="1" x14ac:dyDescent="0.2">
      <c r="D51">
        <v>1.86</v>
      </c>
      <c r="G51">
        <v>0.97</v>
      </c>
      <c r="J51">
        <v>0.97</v>
      </c>
    </row>
    <row r="52" spans="4:11" ht="15.75" customHeight="1" x14ac:dyDescent="0.2">
      <c r="D52">
        <v>1.71</v>
      </c>
      <c r="G52">
        <v>0.81</v>
      </c>
      <c r="J52">
        <v>0.81</v>
      </c>
    </row>
    <row r="53" spans="4:11" ht="15.75" customHeight="1" x14ac:dyDescent="0.2">
      <c r="D53">
        <v>1.49</v>
      </c>
      <c r="G53">
        <v>0.97</v>
      </c>
      <c r="J53">
        <v>0.97</v>
      </c>
    </row>
    <row r="54" spans="4:11" ht="15.75" customHeight="1" x14ac:dyDescent="0.2">
      <c r="D54">
        <v>1.73</v>
      </c>
      <c r="G54">
        <v>1</v>
      </c>
      <c r="J54">
        <v>1</v>
      </c>
    </row>
    <row r="55" spans="4:11" ht="15.75" customHeight="1" x14ac:dyDescent="0.2">
      <c r="D55">
        <v>1.73</v>
      </c>
      <c r="G55">
        <v>0.81</v>
      </c>
      <c r="J55">
        <v>0.81</v>
      </c>
    </row>
    <row r="56" spans="4:11" ht="15.75" customHeight="1" x14ac:dyDescent="0.2">
      <c r="D56">
        <v>1.58</v>
      </c>
      <c r="G56">
        <v>0.84</v>
      </c>
      <c r="J56">
        <v>0.84</v>
      </c>
    </row>
    <row r="57" spans="4:11" ht="15.75" customHeight="1" x14ac:dyDescent="0.2">
      <c r="D57">
        <f>AVERAGE(D47:D56)</f>
        <v>1.7010000000000001</v>
      </c>
      <c r="E57">
        <f>_xlfn.STDEV.S(D47:D56)</f>
        <v>0.15708808569292151</v>
      </c>
      <c r="G57">
        <f>AVERAGE(G47:G56)</f>
        <v>0.877</v>
      </c>
      <c r="H57">
        <f>_xlfn.STDEV.S(G47:G56)</f>
        <v>9.0682596639781621E-2</v>
      </c>
      <c r="J57">
        <f>AVERAGE(J47:J56)</f>
        <v>0.877</v>
      </c>
      <c r="K57">
        <f>_xlfn.STDEV.S(J47:J56)</f>
        <v>9.0682596639781621E-2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62"/>
  <sheetViews>
    <sheetView workbookViewId="0">
      <selection activeCell="N2" sqref="N2"/>
    </sheetView>
  </sheetViews>
  <sheetFormatPr defaultColWidth="12.7109375" defaultRowHeight="15.75" customHeight="1" x14ac:dyDescent="0.2"/>
  <cols>
    <col min="21" max="21" width="15.140625" customWidth="1"/>
  </cols>
  <sheetData>
    <row r="1" spans="1:20" ht="15.75" customHeight="1" x14ac:dyDescent="0.2">
      <c r="A1" s="1" t="s">
        <v>0</v>
      </c>
      <c r="D1" s="1" t="s">
        <v>1</v>
      </c>
      <c r="G1" s="1" t="s">
        <v>5</v>
      </c>
      <c r="J1" t="s">
        <v>2</v>
      </c>
      <c r="M1" s="5" t="s">
        <v>11</v>
      </c>
      <c r="N1" s="4" t="s">
        <v>12</v>
      </c>
      <c r="O1" s="4" t="s">
        <v>13</v>
      </c>
      <c r="P1" s="4" t="s">
        <v>10</v>
      </c>
      <c r="S1" s="4"/>
    </row>
    <row r="2" spans="1:20" ht="15.75" customHeight="1" x14ac:dyDescent="0.2">
      <c r="A2" s="1">
        <v>0.79820002496242504</v>
      </c>
      <c r="D2" s="1">
        <v>0.79980002522468496</v>
      </c>
      <c r="G2" s="1">
        <v>-2.7961984187364499</v>
      </c>
      <c r="J2">
        <v>-0.288499520421028</v>
      </c>
      <c r="M2">
        <v>1.8000000000000001E-4</v>
      </c>
      <c r="N2">
        <v>1.8000000000000001E-4</v>
      </c>
      <c r="O2">
        <v>1.8000000000000001E-4</v>
      </c>
      <c r="P2">
        <f>AVERAGE(M2:O2)</f>
        <v>1.8000000000000001E-4</v>
      </c>
    </row>
    <row r="3" spans="1:20" ht="15.75" customHeight="1" x14ac:dyDescent="0.2">
      <c r="A3" s="1">
        <v>0.82080002009868602</v>
      </c>
      <c r="D3" s="1">
        <v>0.81960002005100197</v>
      </c>
      <c r="G3" s="1">
        <v>-2.3042986375093402</v>
      </c>
      <c r="J3">
        <v>-0.69419933557510305</v>
      </c>
      <c r="M3">
        <v>0.83699999999999997</v>
      </c>
      <c r="N3">
        <v>0.83699999999999997</v>
      </c>
      <c r="O3">
        <v>0.83699999999999997</v>
      </c>
      <c r="P3">
        <f>AVERAGE(M3:O3)</f>
        <v>0.83700000000000008</v>
      </c>
    </row>
    <row r="4" spans="1:20" ht="15.75" customHeight="1" x14ac:dyDescent="0.2">
      <c r="A4" s="1">
        <v>0.77580002486705701</v>
      </c>
      <c r="D4" s="1">
        <v>0.80570002138614605</v>
      </c>
      <c r="G4" s="1">
        <v>-2.5529985338449399</v>
      </c>
      <c r="J4">
        <v>-0.45379945367574598</v>
      </c>
    </row>
    <row r="5" spans="1:20" ht="15.75" customHeight="1" x14ac:dyDescent="0.2">
      <c r="A5" s="1">
        <v>0.79670002222061098</v>
      </c>
      <c r="D5" s="1">
        <v>0.80080002129077898</v>
      </c>
      <c r="G5" s="1">
        <v>-2.8783983784913998</v>
      </c>
      <c r="J5">
        <v>-0.36969949007034297</v>
      </c>
    </row>
    <row r="6" spans="1:20" ht="15.75" customHeight="1" x14ac:dyDescent="0.2">
      <c r="A6" s="1">
        <v>0.78960002541541996</v>
      </c>
      <c r="D6" s="1">
        <v>0.820400022268295</v>
      </c>
      <c r="G6" s="1">
        <v>-2.4383985871076499</v>
      </c>
      <c r="J6">
        <v>-0.492899440228939</v>
      </c>
    </row>
    <row r="7" spans="1:20" ht="15.75" customHeight="1" x14ac:dyDescent="0.2">
      <c r="A7" s="1">
        <v>0.79540001869201604</v>
      </c>
      <c r="D7" s="1">
        <v>0.81200002133846205</v>
      </c>
      <c r="G7" s="1">
        <v>-2.44369858562946</v>
      </c>
      <c r="J7">
        <v>-0.139999577999115</v>
      </c>
    </row>
    <row r="8" spans="1:20" ht="15.75" customHeight="1" x14ac:dyDescent="0.2">
      <c r="A8" s="1">
        <v>0.80980002284049901</v>
      </c>
      <c r="D8" s="1">
        <v>0.82330001950263898</v>
      </c>
      <c r="G8" s="1">
        <v>-2.5812985134869799</v>
      </c>
      <c r="J8">
        <v>-0.61589936733245798</v>
      </c>
    </row>
    <row r="9" spans="1:20" ht="15.75" customHeight="1" x14ac:dyDescent="0.2">
      <c r="A9" s="1">
        <v>0.80780001878738406</v>
      </c>
      <c r="D9" s="1">
        <v>0.823600017726421</v>
      </c>
      <c r="G9" s="1">
        <v>-2.7524984544515601</v>
      </c>
      <c r="J9">
        <v>-0.72909931927919303</v>
      </c>
    </row>
    <row r="10" spans="1:20" ht="15.75" customHeight="1" x14ac:dyDescent="0.2">
      <c r="A10" s="1">
        <v>0.80950002133846199</v>
      </c>
      <c r="D10" s="1">
        <v>0.79400002449750895</v>
      </c>
      <c r="G10" s="1">
        <v>-2.3660986149310999</v>
      </c>
      <c r="J10">
        <v>-0.62189938724040905</v>
      </c>
    </row>
    <row r="11" spans="1:20" ht="15.75" customHeight="1" x14ac:dyDescent="0.2">
      <c r="A11" s="1">
        <v>0.78060002326965305</v>
      </c>
      <c r="D11" s="1">
        <v>0.802400022745132</v>
      </c>
      <c r="G11" s="1">
        <v>-2.6016985219716999</v>
      </c>
      <c r="J11">
        <v>-0.17489956617355301</v>
      </c>
    </row>
    <row r="12" spans="1:20" ht="15.75" customHeight="1" x14ac:dyDescent="0.2">
      <c r="A12" s="1">
        <f>AVERAGE(A2:A11)</f>
        <v>0.79842002224922148</v>
      </c>
      <c r="B12" s="1">
        <f>_xlfn.STDEV.S(A2:A11)</f>
        <v>1.3985133542493514E-2</v>
      </c>
      <c r="D12" s="1">
        <f>AVERAGE(D2:D11)</f>
        <v>0.81016002160310696</v>
      </c>
      <c r="E12" s="1">
        <f>_xlfn.STDEV.S(D2:D11)</f>
        <v>1.0989103923692968E-2</v>
      </c>
      <c r="G12" s="1">
        <f>AVERAGE(G2:G11)</f>
        <v>-2.5715585246160577</v>
      </c>
      <c r="H12" s="1">
        <f>_xlfn.STDEV.S(G2:G11)</f>
        <v>0.19044455330320412</v>
      </c>
      <c r="J12" s="1">
        <f>AVERAGE(J2:J11)</f>
        <v>-0.45808944579958871</v>
      </c>
      <c r="K12" s="1">
        <f>_xlfn.STDEV.S(J2:J11)</f>
        <v>0.21084834954444306</v>
      </c>
      <c r="S12" s="1"/>
      <c r="T12" s="1"/>
    </row>
    <row r="17" spans="2:20" ht="15.75" customHeight="1" x14ac:dyDescent="0.2">
      <c r="D17" s="1" t="s">
        <v>3</v>
      </c>
      <c r="G17" s="1" t="s">
        <v>6</v>
      </c>
      <c r="J17" t="s">
        <v>4</v>
      </c>
      <c r="M17" s="5" t="s">
        <v>11</v>
      </c>
      <c r="N17" s="4" t="s">
        <v>12</v>
      </c>
      <c r="O17" s="4" t="s">
        <v>13</v>
      </c>
      <c r="P17" s="4" t="s">
        <v>10</v>
      </c>
      <c r="S17" s="4"/>
    </row>
    <row r="18" spans="2:20" ht="15.75" customHeight="1" x14ac:dyDescent="0.2">
      <c r="D18" s="1">
        <v>0.78840002238750395</v>
      </c>
      <c r="G18" s="1">
        <v>-1.4026990401744801</v>
      </c>
      <c r="J18">
        <v>0.74610002726316405</v>
      </c>
      <c r="M18">
        <v>1.8000000000000001E-4</v>
      </c>
      <c r="N18">
        <v>1.8000000000000001E-4</v>
      </c>
      <c r="O18">
        <v>1.8000000000000001E-4</v>
      </c>
      <c r="P18">
        <f>AVERAGE(M18:O18)</f>
        <v>1.8000000000000001E-4</v>
      </c>
    </row>
    <row r="19" spans="2:20" ht="15.75" customHeight="1" x14ac:dyDescent="0.2">
      <c r="D19" s="1">
        <v>0.80960002154111799</v>
      </c>
      <c r="G19" s="1">
        <v>-0.85659928083419801</v>
      </c>
      <c r="J19">
        <v>0.75440002545714302</v>
      </c>
      <c r="M19">
        <v>0.83699999999999997</v>
      </c>
      <c r="N19">
        <v>0.83699999999999997</v>
      </c>
      <c r="O19">
        <v>0.83699999999999997</v>
      </c>
      <c r="P19">
        <f>AVERAGE(M19:O19)</f>
        <v>0.83700000000000008</v>
      </c>
    </row>
    <row r="20" spans="2:20" ht="15.75" customHeight="1" x14ac:dyDescent="0.2">
      <c r="D20" s="1">
        <v>0.80750002443790403</v>
      </c>
      <c r="G20" s="1">
        <v>-0.86719927608966796</v>
      </c>
      <c r="J20">
        <v>0.75170002400875002</v>
      </c>
    </row>
    <row r="21" spans="2:20" ht="15.75" customHeight="1" x14ac:dyDescent="0.2">
      <c r="D21" s="1">
        <v>0.78650002658367102</v>
      </c>
      <c r="G21" s="1">
        <v>-1.2540990996360699</v>
      </c>
      <c r="J21">
        <v>0.75610002577304802</v>
      </c>
      <c r="K21" t="s">
        <v>20</v>
      </c>
    </row>
    <row r="22" spans="2:20" ht="15.75" customHeight="1" x14ac:dyDescent="0.2">
      <c r="D22" s="1">
        <v>0.79360002100467597</v>
      </c>
      <c r="G22" s="1">
        <v>-1.3509990376234</v>
      </c>
      <c r="J22">
        <v>0.73850002437829898</v>
      </c>
    </row>
    <row r="23" spans="2:20" ht="15.75" customHeight="1" x14ac:dyDescent="0.2">
      <c r="D23" s="1">
        <v>0.80440002381801601</v>
      </c>
      <c r="G23" s="1">
        <v>-1.3914990389346999</v>
      </c>
      <c r="J23">
        <v>0.75790002390742295</v>
      </c>
    </row>
    <row r="24" spans="2:20" ht="15.75" customHeight="1" x14ac:dyDescent="0.2">
      <c r="D24" s="1">
        <v>0.83120001673698396</v>
      </c>
      <c r="G24" s="1">
        <v>-1.48149900197982</v>
      </c>
      <c r="J24">
        <v>0.75160002276301296</v>
      </c>
    </row>
    <row r="25" spans="2:20" ht="15.75" customHeight="1" x14ac:dyDescent="0.2">
      <c r="D25" s="1">
        <v>0.79210002422332704</v>
      </c>
      <c r="G25" s="1">
        <v>-1.0354991972446399</v>
      </c>
      <c r="J25">
        <v>0.74470002442598304</v>
      </c>
    </row>
    <row r="26" spans="2:20" ht="15.75" customHeight="1" x14ac:dyDescent="0.2">
      <c r="D26" s="1">
        <v>0.79690002381801595</v>
      </c>
      <c r="G26" s="1">
        <v>-1.7025989061594</v>
      </c>
      <c r="J26">
        <v>0.69610003858804703</v>
      </c>
    </row>
    <row r="27" spans="2:20" ht="15.75" customHeight="1" x14ac:dyDescent="0.2">
      <c r="D27" s="1">
        <v>0.79310002207756003</v>
      </c>
      <c r="G27" s="1">
        <v>-1.14999914467334</v>
      </c>
      <c r="J27">
        <v>0.72840002939104997</v>
      </c>
    </row>
    <row r="28" spans="2:20" ht="15.75" customHeight="1" x14ac:dyDescent="0.2">
      <c r="D28" s="1">
        <f>AVERAGE(D18:D27)</f>
        <v>0.80033002266287756</v>
      </c>
      <c r="E28" s="1">
        <f>_xlfn.STDEV.S(D18:D27)</f>
        <v>1.3406136834755859E-2</v>
      </c>
      <c r="G28" s="1">
        <f>AVERAGE(G18:G27)</f>
        <v>-1.2492691023349716</v>
      </c>
      <c r="H28" s="1">
        <f>_xlfn.STDEV.S(G18:G27)</f>
        <v>0.27270254130012156</v>
      </c>
      <c r="J28" s="1">
        <f>AVERAGE(J18:J27)</f>
        <v>0.74255002659559199</v>
      </c>
      <c r="K28" s="1">
        <f>_xlfn.STDEV.S(J18:J27)</f>
        <v>1.8609207910936978E-2</v>
      </c>
      <c r="T28" s="1"/>
    </row>
    <row r="29" spans="2:20" ht="15.75" customHeight="1" x14ac:dyDescent="0.2">
      <c r="B29" s="1"/>
      <c r="C29" s="1"/>
      <c r="D29" s="1"/>
      <c r="E29" s="1"/>
      <c r="F29" s="1"/>
      <c r="G29" s="1"/>
      <c r="H29" s="1"/>
      <c r="I29" s="1"/>
    </row>
    <row r="30" spans="2:20" ht="15.75" customHeight="1" x14ac:dyDescent="0.2">
      <c r="B30" s="1"/>
      <c r="C30" s="1"/>
      <c r="D30" s="1"/>
      <c r="E30" s="1"/>
      <c r="F30" s="1"/>
      <c r="G30" s="1"/>
      <c r="H30" s="1"/>
      <c r="I30" s="1"/>
    </row>
    <row r="31" spans="2:20" ht="15.75" customHeight="1" x14ac:dyDescent="0.2">
      <c r="B31" s="1"/>
      <c r="C31" s="1"/>
      <c r="D31" s="1"/>
      <c r="E31" s="1"/>
      <c r="F31" s="1"/>
      <c r="G31" s="1"/>
      <c r="H31" s="1"/>
      <c r="I31" s="1"/>
    </row>
    <row r="32" spans="2:20" ht="15.75" customHeight="1" x14ac:dyDescent="0.2">
      <c r="B32" s="1"/>
      <c r="C32" s="1"/>
      <c r="D32" s="1" t="s">
        <v>7</v>
      </c>
      <c r="E32" s="1"/>
      <c r="F32" s="1"/>
      <c r="G32" s="1" t="s">
        <v>24</v>
      </c>
      <c r="H32" s="1"/>
      <c r="I32" s="1"/>
      <c r="J32" t="s">
        <v>8</v>
      </c>
      <c r="M32" s="5" t="s">
        <v>11</v>
      </c>
      <c r="N32" s="4" t="s">
        <v>12</v>
      </c>
      <c r="O32" s="4" t="s">
        <v>13</v>
      </c>
      <c r="P32" s="4" t="s">
        <v>10</v>
      </c>
      <c r="S32" s="4"/>
    </row>
    <row r="33" spans="2:20" ht="15.75" customHeight="1" x14ac:dyDescent="0.2">
      <c r="B33" s="1"/>
      <c r="C33" s="1"/>
      <c r="D33" s="1">
        <v>0.79880002439999997</v>
      </c>
      <c r="E33" s="1"/>
      <c r="F33" s="1"/>
      <c r="G33" s="1">
        <v>-2.067898757</v>
      </c>
      <c r="H33" s="1"/>
      <c r="I33" s="1"/>
      <c r="J33">
        <v>-0.50959940731525399</v>
      </c>
      <c r="M33">
        <v>1.8000000000000001E-4</v>
      </c>
      <c r="N33">
        <v>1.8000000000000001E-4</v>
      </c>
      <c r="O33">
        <v>1.8000000000000001E-4</v>
      </c>
      <c r="P33">
        <f>AVERAGE(M33:O33)</f>
        <v>1.8000000000000001E-4</v>
      </c>
    </row>
    <row r="34" spans="2:20" ht="15.75" customHeight="1" x14ac:dyDescent="0.2">
      <c r="B34" s="1"/>
      <c r="C34" s="1"/>
      <c r="D34" s="1">
        <v>0.79120002869999995</v>
      </c>
      <c r="E34" s="1"/>
      <c r="F34" s="1"/>
      <c r="G34" s="1">
        <v>-1.775998864</v>
      </c>
      <c r="H34" s="1"/>
      <c r="I34" s="1"/>
      <c r="J34">
        <v>-5.6499604135751703E-2</v>
      </c>
      <c r="M34">
        <v>0.83699999999999997</v>
      </c>
      <c r="N34">
        <v>0.83699999999999997</v>
      </c>
      <c r="O34">
        <v>0.83699999999999997</v>
      </c>
      <c r="P34">
        <f>AVERAGE(M34:O34)</f>
        <v>0.83700000000000008</v>
      </c>
    </row>
    <row r="35" spans="2:20" ht="15.75" customHeight="1" x14ac:dyDescent="0.2">
      <c r="B35" s="1"/>
      <c r="C35" s="1"/>
      <c r="D35" s="1">
        <v>0.81300002220000001</v>
      </c>
      <c r="E35" s="1"/>
      <c r="F35" s="1"/>
      <c r="G35" s="1">
        <v>-1.7879988600000001</v>
      </c>
      <c r="H35" s="1"/>
      <c r="I35" s="1"/>
      <c r="J35">
        <v>-5.7999612689018203E-2</v>
      </c>
    </row>
    <row r="36" spans="2:20" ht="15.75" customHeight="1" x14ac:dyDescent="0.2">
      <c r="B36" s="1"/>
      <c r="C36" s="1"/>
      <c r="D36" s="1">
        <v>0.79800002400000003</v>
      </c>
      <c r="E36" s="1"/>
      <c r="F36" s="1"/>
      <c r="G36" s="1">
        <v>-1.700198941</v>
      </c>
      <c r="H36" s="1"/>
      <c r="I36" s="1"/>
      <c r="J36" s="1">
        <v>-0.28159950703382403</v>
      </c>
      <c r="K36" s="1"/>
    </row>
    <row r="37" spans="2:20" ht="15.75" customHeight="1" x14ac:dyDescent="0.2">
      <c r="B37" s="1"/>
      <c r="C37" s="1"/>
      <c r="D37" s="1">
        <v>0.80890002370000003</v>
      </c>
      <c r="E37" s="1"/>
      <c r="F37" s="1"/>
      <c r="G37" s="1">
        <v>-1.7115989279999999</v>
      </c>
      <c r="H37" s="1"/>
      <c r="I37" s="1"/>
      <c r="J37" s="1">
        <v>-0.11819958209991401</v>
      </c>
      <c r="K37" s="1"/>
    </row>
    <row r="38" spans="2:20" ht="15.75" customHeight="1" x14ac:dyDescent="0.2">
      <c r="B38" s="1"/>
      <c r="C38" s="1"/>
      <c r="D38" s="1">
        <v>0.79330002489999996</v>
      </c>
      <c r="E38" s="1"/>
      <c r="F38" s="1"/>
      <c r="G38" s="1">
        <v>-1.9633988019999999</v>
      </c>
      <c r="H38" s="1"/>
      <c r="I38" s="1"/>
      <c r="J38" s="1">
        <v>0.24420026540756201</v>
      </c>
      <c r="K38" s="1"/>
    </row>
    <row r="39" spans="2:20" ht="15.75" customHeight="1" x14ac:dyDescent="0.2">
      <c r="B39" s="1"/>
      <c r="C39" s="1"/>
      <c r="D39" s="1">
        <v>0.80230002109999998</v>
      </c>
      <c r="E39" s="1"/>
      <c r="F39" s="1"/>
      <c r="G39" s="1">
        <v>-2.0907987669999999</v>
      </c>
      <c r="H39" s="1"/>
      <c r="I39" s="1"/>
      <c r="J39" s="1">
        <v>0.100400347709655</v>
      </c>
      <c r="K39" s="1"/>
    </row>
    <row r="40" spans="2:20" ht="15.75" customHeight="1" x14ac:dyDescent="0.2">
      <c r="B40" s="1"/>
      <c r="C40" s="1"/>
      <c r="D40" s="1">
        <v>0.80140002249999998</v>
      </c>
      <c r="E40" s="1"/>
      <c r="F40" s="1"/>
      <c r="G40" s="1">
        <v>-2.1215987360000002</v>
      </c>
      <c r="H40" s="1"/>
      <c r="I40" s="1"/>
      <c r="J40" s="1">
        <v>-7.7599616050720202E-2</v>
      </c>
      <c r="K40" s="1"/>
    </row>
    <row r="41" spans="2:20" ht="15.75" customHeight="1" x14ac:dyDescent="0.2">
      <c r="B41" s="1"/>
      <c r="C41" s="1"/>
      <c r="D41" s="1">
        <v>0.80220002109999999</v>
      </c>
      <c r="E41" s="1"/>
      <c r="F41" s="1"/>
      <c r="G41" s="1">
        <v>-2.1315987270000001</v>
      </c>
      <c r="H41" s="1"/>
      <c r="I41" s="1"/>
      <c r="J41" s="1">
        <v>-0.11569957941770501</v>
      </c>
      <c r="K41" s="1"/>
    </row>
    <row r="42" spans="2:20" ht="15.75" customHeight="1" x14ac:dyDescent="0.2">
      <c r="B42" s="1"/>
      <c r="C42" s="1"/>
      <c r="D42" s="1">
        <v>0.81840002119999999</v>
      </c>
      <c r="E42" s="1"/>
      <c r="F42" s="1"/>
      <c r="G42" s="1">
        <v>-2.0426987670000001</v>
      </c>
      <c r="H42" s="1"/>
      <c r="I42" s="1"/>
      <c r="J42" s="1">
        <v>-0.175599545240402</v>
      </c>
      <c r="K42" s="1"/>
    </row>
    <row r="43" spans="2:20" ht="15.75" customHeight="1" x14ac:dyDescent="0.2">
      <c r="B43" s="1"/>
      <c r="C43" s="1"/>
      <c r="D43" s="1">
        <f>AVERAGE(D33:D42)</f>
        <v>0.80275002338000001</v>
      </c>
      <c r="E43" s="1">
        <f>_xlfn.STDEV.S(D33:D42)</f>
        <v>8.5049315947347201E-3</v>
      </c>
      <c r="F43" s="1"/>
      <c r="G43" s="1">
        <f>AVERAGE(G33:G42)</f>
        <v>-1.9393788149</v>
      </c>
      <c r="H43" s="1">
        <f>_xlfn.STDEV.S(G33:G42)</f>
        <v>0.17624147954302019</v>
      </c>
      <c r="I43" s="1"/>
      <c r="J43" s="1">
        <f>AVERAGE(J33:J42)</f>
        <v>-0.10481958408653722</v>
      </c>
      <c r="K43" s="1">
        <f>_xlfn.STDEV.S(J33:J42)</f>
        <v>0.20264993916379376</v>
      </c>
      <c r="T43" s="1"/>
    </row>
    <row r="44" spans="2:20" ht="15.75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2:20" ht="15.75" customHeight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2:20" ht="15.75" customHeigh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20" ht="15.75" customHeight="1" x14ac:dyDescent="0.2">
      <c r="B47" s="1"/>
      <c r="C47" s="1"/>
      <c r="D47" s="1" t="s">
        <v>25</v>
      </c>
      <c r="E47" s="1"/>
      <c r="F47" s="1"/>
      <c r="G47" s="1" t="s">
        <v>27</v>
      </c>
      <c r="H47" s="1"/>
      <c r="I47" s="1"/>
      <c r="J47" s="1" t="s">
        <v>28</v>
      </c>
      <c r="K47" s="1"/>
    </row>
    <row r="48" spans="2:20" ht="15.75" customHeight="1" x14ac:dyDescent="0.2">
      <c r="B48" s="1"/>
      <c r="C48" s="1"/>
      <c r="D48" s="1">
        <v>0.81330002310000005</v>
      </c>
      <c r="E48" s="1"/>
      <c r="F48" s="1"/>
      <c r="G48" s="1">
        <v>-2.429898568</v>
      </c>
      <c r="H48" s="1"/>
      <c r="I48" s="1"/>
      <c r="J48" s="1">
        <v>-1.1399991220235799</v>
      </c>
      <c r="K48" s="1"/>
    </row>
    <row r="49" spans="2:11" ht="15.75" customHeight="1" x14ac:dyDescent="0.2">
      <c r="B49" s="1"/>
      <c r="C49" s="1"/>
      <c r="D49" s="1">
        <v>0.81160002470000003</v>
      </c>
      <c r="E49" s="1"/>
      <c r="F49" s="1"/>
      <c r="G49" s="1">
        <v>-2.8066984160000001</v>
      </c>
      <c r="H49" s="1"/>
      <c r="I49" s="1"/>
      <c r="J49" s="1">
        <v>-0.98099919378757405</v>
      </c>
      <c r="K49" s="1"/>
    </row>
    <row r="50" spans="2:11" ht="15.75" customHeight="1" x14ac:dyDescent="0.2">
      <c r="C50" s="1"/>
      <c r="D50" s="1">
        <v>0.80330002489999996</v>
      </c>
      <c r="E50" s="1"/>
      <c r="F50" s="1"/>
      <c r="G50" s="1">
        <v>-2.3713986089999999</v>
      </c>
      <c r="H50" s="1"/>
      <c r="I50" s="1"/>
      <c r="J50" s="1">
        <v>-1.07129915058612</v>
      </c>
      <c r="K50" s="1"/>
    </row>
    <row r="51" spans="2:11" ht="15.75" customHeight="1" x14ac:dyDescent="0.2">
      <c r="C51" s="1"/>
      <c r="D51" s="1">
        <v>0.80990002100000003</v>
      </c>
      <c r="E51" s="1"/>
      <c r="F51" s="1"/>
      <c r="G51" s="1">
        <v>-2.1881986969999998</v>
      </c>
      <c r="H51" s="1"/>
      <c r="I51" s="1"/>
      <c r="J51" s="1">
        <v>-1.1757991075515699</v>
      </c>
      <c r="K51" s="1"/>
    </row>
    <row r="52" spans="2:11" ht="15.75" customHeight="1" x14ac:dyDescent="0.2">
      <c r="C52" s="1"/>
      <c r="D52" s="1">
        <v>0.79590002179999997</v>
      </c>
      <c r="E52" s="1"/>
      <c r="F52" s="1"/>
      <c r="G52" s="1">
        <v>-2.3242986330000002</v>
      </c>
      <c r="H52" s="1"/>
      <c r="I52" s="1"/>
      <c r="J52" s="1">
        <v>-1.0387991565465899</v>
      </c>
      <c r="K52" s="1"/>
    </row>
    <row r="53" spans="2:11" ht="15.75" customHeight="1" x14ac:dyDescent="0.2">
      <c r="C53" s="1"/>
      <c r="D53" s="1">
        <v>0.81000002090000001</v>
      </c>
      <c r="E53" s="1"/>
      <c r="F53" s="1"/>
      <c r="G53" s="1">
        <v>-2.8623983819999999</v>
      </c>
      <c r="H53" s="1"/>
      <c r="I53" s="1"/>
      <c r="J53" s="1">
        <v>-1.46629897594451</v>
      </c>
      <c r="K53" s="1"/>
    </row>
    <row r="54" spans="2:11" ht="15.75" customHeight="1" x14ac:dyDescent="0.2">
      <c r="C54" s="1"/>
      <c r="D54" s="1">
        <v>0.8001000237</v>
      </c>
      <c r="E54" s="1"/>
      <c r="F54" s="1"/>
      <c r="G54" s="1">
        <v>-2.8404983970000002</v>
      </c>
      <c r="H54" s="1"/>
      <c r="I54" s="1"/>
      <c r="J54" s="1">
        <v>-0.961199195384979</v>
      </c>
      <c r="K54" s="1"/>
    </row>
    <row r="55" spans="2:11" ht="15.75" customHeight="1" x14ac:dyDescent="0.2">
      <c r="C55" s="1"/>
      <c r="D55" s="1">
        <v>0.79650002480000004</v>
      </c>
      <c r="E55" s="1"/>
      <c r="F55" s="1"/>
      <c r="G55" s="1">
        <v>-2.625798493</v>
      </c>
      <c r="H55" s="1"/>
      <c r="I55" s="1"/>
      <c r="J55" s="1">
        <v>-1.1393991166353199</v>
      </c>
      <c r="K55" s="1"/>
    </row>
    <row r="56" spans="2:11" ht="15.75" customHeight="1" x14ac:dyDescent="0.2">
      <c r="C56" s="1"/>
      <c r="D56" s="1">
        <v>0.794200024</v>
      </c>
      <c r="E56" s="1"/>
      <c r="F56" s="1"/>
      <c r="G56" s="1">
        <v>-2.294698656</v>
      </c>
      <c r="H56" s="1"/>
      <c r="I56" s="1"/>
      <c r="J56" s="1">
        <v>-0.69109931886196097</v>
      </c>
      <c r="K56" s="1"/>
    </row>
    <row r="57" spans="2:11" ht="15.75" customHeight="1" x14ac:dyDescent="0.2">
      <c r="C57" s="1"/>
      <c r="D57" s="1">
        <v>0.81090002059999999</v>
      </c>
      <c r="E57" s="1"/>
      <c r="F57" s="1"/>
      <c r="G57" s="1">
        <v>-2.7742984160000002</v>
      </c>
      <c r="H57" s="1"/>
      <c r="I57" s="1"/>
      <c r="J57" s="1">
        <v>-0.805999267101287</v>
      </c>
      <c r="K57" s="1"/>
    </row>
    <row r="58" spans="2:11" ht="15.75" customHeight="1" x14ac:dyDescent="0.2">
      <c r="C58" s="1"/>
      <c r="D58" s="1">
        <f>AVERAGE(D48:D57)</f>
        <v>0.80457002294999991</v>
      </c>
      <c r="E58" s="1">
        <f>_xlfn.STDEV.S(D48:D57)</f>
        <v>7.4013580665985316E-3</v>
      </c>
      <c r="F58" s="1"/>
      <c r="G58" s="1">
        <f>AVERAGE(G48:G57)</f>
        <v>-2.5518185267000004</v>
      </c>
      <c r="H58" s="1">
        <f>_xlfn.STDEV.S(G48:G57)</f>
        <v>0.25760459409340447</v>
      </c>
      <c r="I58" s="1"/>
      <c r="J58" s="1">
        <f>AVERAGE(J48:J57)</f>
        <v>-1.0470891604423489</v>
      </c>
      <c r="K58" s="1">
        <f>_xlfn.STDEV.S(J48:J57)</f>
        <v>0.21257924808006354</v>
      </c>
    </row>
    <row r="59" spans="2:11" ht="15.75" customHeight="1" x14ac:dyDescent="0.2">
      <c r="C59" s="1"/>
      <c r="D59" s="1"/>
      <c r="E59" s="1"/>
      <c r="F59" s="1"/>
      <c r="G59" s="1"/>
      <c r="H59" s="1"/>
      <c r="I59" s="1"/>
      <c r="J59" s="1"/>
      <c r="K59" s="1"/>
    </row>
    <row r="60" spans="2:11" ht="15.75" customHeight="1" x14ac:dyDescent="0.2">
      <c r="C60" s="1"/>
      <c r="D60" s="1"/>
      <c r="E60" s="1"/>
      <c r="F60" s="1"/>
      <c r="G60" s="1"/>
      <c r="H60" s="1"/>
      <c r="I60" s="1"/>
      <c r="J60" s="1"/>
      <c r="K60" s="1"/>
    </row>
    <row r="61" spans="2:11" ht="15.75" customHeight="1" x14ac:dyDescent="0.2">
      <c r="C61" s="1"/>
      <c r="D61" s="1"/>
      <c r="E61" s="1"/>
      <c r="F61" s="1"/>
      <c r="G61" s="1"/>
      <c r="H61" s="1"/>
      <c r="I61" s="1"/>
      <c r="J61" s="1"/>
      <c r="K61" s="1"/>
    </row>
    <row r="62" spans="2:11" ht="15.75" customHeight="1" x14ac:dyDescent="0.2"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7255-D531-4114-9B8A-4EC0B2B7E149}">
  <dimension ref="A1:P57"/>
  <sheetViews>
    <sheetView workbookViewId="0">
      <selection activeCell="L48" sqref="L48"/>
    </sheetView>
  </sheetViews>
  <sheetFormatPr defaultRowHeight="12.75" x14ac:dyDescent="0.2"/>
  <sheetData>
    <row r="1" spans="1:16" x14ac:dyDescent="0.2">
      <c r="A1" s="1" t="s">
        <v>0</v>
      </c>
      <c r="D1" s="1" t="s">
        <v>1</v>
      </c>
      <c r="G1" s="1" t="s">
        <v>2</v>
      </c>
      <c r="J1" t="s">
        <v>5</v>
      </c>
      <c r="M1" s="5" t="s">
        <v>11</v>
      </c>
      <c r="N1" s="4" t="s">
        <v>12</v>
      </c>
      <c r="O1" s="4" t="s">
        <v>13</v>
      </c>
      <c r="P1" s="4" t="s">
        <v>10</v>
      </c>
    </row>
    <row r="2" spans="1:16" x14ac:dyDescent="0.2">
      <c r="A2" s="1">
        <v>1.68</v>
      </c>
      <c r="D2" s="2">
        <v>0.54</v>
      </c>
      <c r="G2" s="2">
        <v>-1</v>
      </c>
      <c r="L2" s="4" t="s">
        <v>18</v>
      </c>
      <c r="M2">
        <v>0.28754999999999997</v>
      </c>
      <c r="N2">
        <v>1.7000000000000001E-4</v>
      </c>
      <c r="O2">
        <v>1.8000000000000001E-4</v>
      </c>
    </row>
    <row r="3" spans="1:16" x14ac:dyDescent="0.2">
      <c r="A3" s="1">
        <v>1.78</v>
      </c>
      <c r="D3" s="2">
        <v>0.1</v>
      </c>
      <c r="G3" s="2">
        <v>-0.89</v>
      </c>
      <c r="L3" s="4" t="s">
        <v>15</v>
      </c>
      <c r="M3">
        <v>0.57999999999999996</v>
      </c>
      <c r="N3">
        <v>7.7</v>
      </c>
      <c r="O3">
        <v>8.39</v>
      </c>
    </row>
    <row r="4" spans="1:16" x14ac:dyDescent="0.2">
      <c r="A4" s="1">
        <v>1.91</v>
      </c>
      <c r="D4" s="2">
        <v>0.65</v>
      </c>
      <c r="G4" s="2">
        <v>-0.89</v>
      </c>
      <c r="L4" s="4" t="s">
        <v>19</v>
      </c>
      <c r="M4" t="e">
        <f>_xlfn.T.TEST(G2:G11, J2:J11, 2, 1)</f>
        <v>#DIV/0!</v>
      </c>
      <c r="N4">
        <f>_xlfn.T.TEST(D2:D11, G2:G11, 2, 1)</f>
        <v>1.2013448005797023E-5</v>
      </c>
      <c r="O4" t="e">
        <f>_xlfn.T.TEST(D2:D11, J2:J11, 2, 1)</f>
        <v>#DIV/0!</v>
      </c>
      <c r="P4" t="e">
        <f>AVERAGE(M4:O4)</f>
        <v>#DIV/0!</v>
      </c>
    </row>
    <row r="5" spans="1:16" x14ac:dyDescent="0.2">
      <c r="A5" s="1">
        <v>2.0299999999999998</v>
      </c>
      <c r="D5" s="2">
        <v>-0.01</v>
      </c>
      <c r="G5" s="2">
        <v>-0.67</v>
      </c>
    </row>
    <row r="6" spans="1:16" x14ac:dyDescent="0.2">
      <c r="A6" s="1">
        <v>1.93</v>
      </c>
      <c r="D6" s="2">
        <v>0.1</v>
      </c>
      <c r="G6" s="2">
        <v>-0.67</v>
      </c>
    </row>
    <row r="7" spans="1:16" x14ac:dyDescent="0.2">
      <c r="A7" s="1">
        <v>1.67</v>
      </c>
      <c r="D7" s="2">
        <v>1.0900000000000001</v>
      </c>
      <c r="G7" s="2">
        <v>-0.67</v>
      </c>
    </row>
    <row r="8" spans="1:16" x14ac:dyDescent="0.2">
      <c r="A8" s="1">
        <v>1.44</v>
      </c>
      <c r="D8" s="2">
        <v>1.42</v>
      </c>
      <c r="G8" s="2">
        <v>-0.89</v>
      </c>
    </row>
    <row r="9" spans="1:16" x14ac:dyDescent="0.2">
      <c r="A9" s="1">
        <v>1.63</v>
      </c>
      <c r="D9" s="2">
        <v>0.32</v>
      </c>
      <c r="G9" s="2">
        <v>-0.89</v>
      </c>
    </row>
    <row r="10" spans="1:16" x14ac:dyDescent="0.2">
      <c r="A10" s="1">
        <v>1.66</v>
      </c>
      <c r="D10" s="2">
        <v>0.65</v>
      </c>
      <c r="G10" s="2">
        <v>-0.56000000000000005</v>
      </c>
    </row>
    <row r="11" spans="1:16" x14ac:dyDescent="0.2">
      <c r="A11" s="1">
        <v>1.55</v>
      </c>
      <c r="D11" s="2">
        <v>0.65</v>
      </c>
      <c r="G11" s="2">
        <v>-0.67</v>
      </c>
    </row>
    <row r="12" spans="1:16" x14ac:dyDescent="0.2">
      <c r="A12" s="1">
        <f>AVERAGE(A2:A11)</f>
        <v>1.7280000000000002</v>
      </c>
      <c r="B12" s="1">
        <f>_xlfn.STDEV.S(A2:A11)</f>
        <v>0.18329090418118077</v>
      </c>
      <c r="D12" s="1">
        <f>AVERAGE(D2:D11)</f>
        <v>0.55100000000000005</v>
      </c>
      <c r="E12" s="1">
        <f>_xlfn.STDEV.S(D2:D11)</f>
        <v>0.45339337837638916</v>
      </c>
      <c r="G12" s="1">
        <f>AVERAGE(G2:G11)</f>
        <v>-0.77999999999999992</v>
      </c>
      <c r="H12" s="1">
        <f>_xlfn.STDEV.S(G2:G11)</f>
        <v>0.14666666666666767</v>
      </c>
      <c r="J12" s="1" t="e">
        <f>AVERAGE(J2:J11)</f>
        <v>#DIV/0!</v>
      </c>
      <c r="K12" s="1" t="e">
        <f>_xlfn.STDEV.S(J2:J11)</f>
        <v>#DIV/0!</v>
      </c>
    </row>
    <row r="17" spans="4:16" x14ac:dyDescent="0.2">
      <c r="D17" s="1" t="s">
        <v>3</v>
      </c>
      <c r="G17" s="1" t="s">
        <v>4</v>
      </c>
      <c r="J17" t="s">
        <v>6</v>
      </c>
      <c r="M17" s="5" t="s">
        <v>11</v>
      </c>
      <c r="N17" s="4" t="s">
        <v>12</v>
      </c>
      <c r="O17" s="4" t="s">
        <v>13</v>
      </c>
      <c r="P17" s="4" t="s">
        <v>10</v>
      </c>
    </row>
    <row r="18" spans="4:16" x14ac:dyDescent="0.2">
      <c r="D18" s="2">
        <v>0.65</v>
      </c>
      <c r="G18" s="2">
        <v>0.1</v>
      </c>
      <c r="L18" s="4" t="s">
        <v>18</v>
      </c>
      <c r="M18">
        <v>1.8000000000000001E-4</v>
      </c>
      <c r="N18">
        <v>4.4900000000000002E-2</v>
      </c>
      <c r="O18">
        <v>1.8000000000000001E-4</v>
      </c>
    </row>
    <row r="19" spans="4:16" x14ac:dyDescent="0.2">
      <c r="D19" s="2">
        <v>1.42</v>
      </c>
      <c r="G19" s="2">
        <v>-0.45</v>
      </c>
      <c r="L19" s="4" t="s">
        <v>15</v>
      </c>
      <c r="M19">
        <v>6.01</v>
      </c>
      <c r="N19">
        <v>0.99</v>
      </c>
      <c r="O19">
        <v>9.4700000000000006</v>
      </c>
    </row>
    <row r="20" spans="4:16" x14ac:dyDescent="0.2">
      <c r="D20" s="2">
        <v>0.65</v>
      </c>
      <c r="G20" s="2">
        <v>0.43</v>
      </c>
      <c r="L20" s="4" t="s">
        <v>19</v>
      </c>
    </row>
    <row r="21" spans="4:16" x14ac:dyDescent="0.2">
      <c r="D21" s="2">
        <v>1.0900000000000001</v>
      </c>
      <c r="G21" s="2">
        <v>0.32</v>
      </c>
    </row>
    <row r="22" spans="4:16" x14ac:dyDescent="0.2">
      <c r="D22" s="2">
        <v>1.2</v>
      </c>
      <c r="G22" s="2">
        <v>0.21</v>
      </c>
    </row>
    <row r="23" spans="4:16" x14ac:dyDescent="0.2">
      <c r="D23" s="2">
        <v>0.65</v>
      </c>
      <c r="G23" s="2">
        <v>1.86</v>
      </c>
    </row>
    <row r="24" spans="4:16" x14ac:dyDescent="0.2">
      <c r="D24" s="2">
        <v>0.76</v>
      </c>
      <c r="G24" s="2">
        <v>1.64</v>
      </c>
    </row>
    <row r="25" spans="4:16" x14ac:dyDescent="0.2">
      <c r="D25" s="2">
        <v>1.0900000000000001</v>
      </c>
      <c r="G25" s="2">
        <v>1.0900000000000001</v>
      </c>
    </row>
    <row r="26" spans="4:16" x14ac:dyDescent="0.2">
      <c r="D26" s="2">
        <v>0.54</v>
      </c>
      <c r="G26" s="2">
        <v>0.54</v>
      </c>
    </row>
    <row r="27" spans="4:16" x14ac:dyDescent="0.2">
      <c r="D27" s="2">
        <v>1.42</v>
      </c>
      <c r="G27" s="2">
        <v>-0.34</v>
      </c>
    </row>
    <row r="28" spans="4:16" x14ac:dyDescent="0.2">
      <c r="D28" s="1">
        <f>AVERAGE(D18:D27)</f>
        <v>0.94700000000000006</v>
      </c>
      <c r="E28" s="1">
        <f>_xlfn.STDEV.P(D18:D27)</f>
        <v>0.31900000000000006</v>
      </c>
      <c r="G28" s="1">
        <f>AVERAGE(G18:G27)</f>
        <v>0.54</v>
      </c>
      <c r="H28" s="1">
        <f>_xlfn.STDEV.P(G18:G27)</f>
        <v>0.73296657495413808</v>
      </c>
      <c r="J28" s="1" t="e">
        <f>AVERAGE(J18:J27)</f>
        <v>#DIV/0!</v>
      </c>
      <c r="K28" s="1" t="e">
        <f>_xlfn.STDEV.P(J18:J27)</f>
        <v>#DIV/0!</v>
      </c>
    </row>
    <row r="32" spans="4:16" x14ac:dyDescent="0.2">
      <c r="D32" s="7" t="s">
        <v>16</v>
      </c>
      <c r="G32" s="7" t="s">
        <v>17</v>
      </c>
      <c r="J32" t="s">
        <v>9</v>
      </c>
      <c r="M32" s="5" t="s">
        <v>11</v>
      </c>
      <c r="N32" s="4" t="s">
        <v>12</v>
      </c>
      <c r="O32" s="4" t="s">
        <v>13</v>
      </c>
      <c r="P32" s="4" t="s">
        <v>10</v>
      </c>
    </row>
    <row r="33" spans="4:16" x14ac:dyDescent="0.2">
      <c r="D33">
        <v>1.9</v>
      </c>
      <c r="G33">
        <v>1.79</v>
      </c>
      <c r="J33">
        <v>1.22</v>
      </c>
      <c r="L33" s="4" t="s">
        <v>18</v>
      </c>
      <c r="M33">
        <v>2.4000000000000001E-4</v>
      </c>
      <c r="N33">
        <v>1.89E-2</v>
      </c>
      <c r="O33">
        <v>1.8000000000000001E-4</v>
      </c>
    </row>
    <row r="34" spans="4:16" x14ac:dyDescent="0.2">
      <c r="D34">
        <v>2.04</v>
      </c>
      <c r="G34">
        <v>1.75</v>
      </c>
      <c r="J34">
        <v>1.18</v>
      </c>
      <c r="L34" s="4" t="s">
        <v>15</v>
      </c>
      <c r="M34">
        <v>3.1</v>
      </c>
      <c r="N34">
        <v>1.23</v>
      </c>
      <c r="O34">
        <v>4.6900000000000004</v>
      </c>
    </row>
    <row r="35" spans="4:16" x14ac:dyDescent="0.2">
      <c r="D35">
        <v>1.92</v>
      </c>
      <c r="G35">
        <v>1.75</v>
      </c>
      <c r="J35">
        <v>1.36</v>
      </c>
      <c r="L35" s="4" t="s">
        <v>19</v>
      </c>
      <c r="M35">
        <f>_xlfn.T.TEST(G33:G42, J33:J42, 2, 1)</f>
        <v>3.0939374159810194E-5</v>
      </c>
      <c r="N35">
        <f>_xlfn.T.TEST(D33:D42, G33:G42, 2, 1)</f>
        <v>1.5047328283260204E-2</v>
      </c>
      <c r="O35">
        <f>_xlfn.T.TEST(D33:D42, J33:J42, 2, 1)</f>
        <v>1.188002848541437E-5</v>
      </c>
      <c r="P35">
        <f>AVERAGE(M35:O35)</f>
        <v>5.0300492286351429E-3</v>
      </c>
    </row>
    <row r="36" spans="4:16" x14ac:dyDescent="0.2">
      <c r="D36">
        <v>1.74</v>
      </c>
      <c r="G36">
        <v>1.58</v>
      </c>
      <c r="J36">
        <v>1.27</v>
      </c>
    </row>
    <row r="37" spans="4:16" x14ac:dyDescent="0.2">
      <c r="D37">
        <v>1.84</v>
      </c>
      <c r="G37">
        <v>1.46</v>
      </c>
      <c r="J37">
        <v>1.38</v>
      </c>
    </row>
    <row r="38" spans="4:16" x14ac:dyDescent="0.2">
      <c r="D38">
        <v>1.93</v>
      </c>
      <c r="G38">
        <v>1.84</v>
      </c>
      <c r="J38">
        <v>1.26</v>
      </c>
    </row>
    <row r="39" spans="4:16" x14ac:dyDescent="0.2">
      <c r="D39">
        <v>1.79</v>
      </c>
      <c r="G39">
        <v>1.62</v>
      </c>
      <c r="J39">
        <v>1.29</v>
      </c>
    </row>
    <row r="40" spans="4:16" x14ac:dyDescent="0.2">
      <c r="D40">
        <v>1.62</v>
      </c>
      <c r="G40">
        <v>1.86</v>
      </c>
      <c r="J40">
        <v>1.5</v>
      </c>
    </row>
    <row r="41" spans="4:16" x14ac:dyDescent="0.2">
      <c r="D41">
        <v>1.97</v>
      </c>
      <c r="G41">
        <v>1.72</v>
      </c>
      <c r="J41">
        <v>1.34</v>
      </c>
    </row>
    <row r="42" spans="4:16" x14ac:dyDescent="0.2">
      <c r="D42">
        <v>1.77</v>
      </c>
      <c r="G42">
        <v>1.6</v>
      </c>
      <c r="J42">
        <v>1.34</v>
      </c>
    </row>
    <row r="43" spans="4:16" x14ac:dyDescent="0.2">
      <c r="D43" s="1">
        <f>AVERAGE(D33:D42)</f>
        <v>1.8519999999999999</v>
      </c>
      <c r="E43" s="1">
        <f>_xlfn.STDEV.S(D33:D42)</f>
        <v>0.12443650768341434</v>
      </c>
      <c r="G43" s="1">
        <f>AVERAGE(G33:G42)</f>
        <v>1.6969999999999998</v>
      </c>
      <c r="H43" s="1">
        <f>_xlfn.STDEV.S(G33:G42)</f>
        <v>0.12780627701503727</v>
      </c>
      <c r="J43" s="1">
        <f>AVERAGE(J33:J42)</f>
        <v>1.3139999999999998</v>
      </c>
      <c r="K43" s="1">
        <f>_xlfn.STDEV.S(J33:J42)</f>
        <v>9.1067740354822332E-2</v>
      </c>
    </row>
    <row r="46" spans="4:16" x14ac:dyDescent="0.2">
      <c r="J46" t="s">
        <v>21</v>
      </c>
    </row>
    <row r="47" spans="4:16" x14ac:dyDescent="0.2">
      <c r="J47">
        <v>1.07</v>
      </c>
    </row>
    <row r="48" spans="4:16" x14ac:dyDescent="0.2">
      <c r="J48">
        <v>1.1399999999999999</v>
      </c>
    </row>
    <row r="49" spans="10:11" x14ac:dyDescent="0.2">
      <c r="J49">
        <v>1</v>
      </c>
    </row>
    <row r="50" spans="10:11" x14ac:dyDescent="0.2">
      <c r="J50">
        <v>1.05</v>
      </c>
    </row>
    <row r="51" spans="10:11" x14ac:dyDescent="0.2">
      <c r="J51">
        <v>1.1100000000000001</v>
      </c>
    </row>
    <row r="52" spans="10:11" x14ac:dyDescent="0.2">
      <c r="J52">
        <v>1.1000000000000001</v>
      </c>
    </row>
    <row r="53" spans="10:11" x14ac:dyDescent="0.2">
      <c r="J53">
        <v>1.1000000000000001</v>
      </c>
    </row>
    <row r="54" spans="10:11" x14ac:dyDescent="0.2">
      <c r="J54">
        <v>1.07</v>
      </c>
    </row>
    <row r="55" spans="10:11" x14ac:dyDescent="0.2">
      <c r="J55">
        <v>1.1299999999999999</v>
      </c>
    </row>
    <row r="56" spans="10:11" x14ac:dyDescent="0.2">
      <c r="J56">
        <v>1.23</v>
      </c>
    </row>
    <row r="57" spans="10:11" x14ac:dyDescent="0.2">
      <c r="J57" s="1">
        <f>AVERAGE(J47:J56)</f>
        <v>1.1000000000000001</v>
      </c>
      <c r="K57" s="1">
        <f>_xlfn.STDEV.S(J47:J56)</f>
        <v>6.1282587702834089E-2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Pendulum</vt:lpstr>
      <vt:lpstr>Hyperhot</vt:lpstr>
      <vt:lpstr>Vizdoom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ＮＧＵＹＥＮ Ｖａｎ Ｔｈａｉ(gr0557fv)</cp:lastModifiedBy>
  <dcterms:modified xsi:type="dcterms:W3CDTF">2026-03-14T16:55:48Z</dcterms:modified>
</cp:coreProperties>
</file>